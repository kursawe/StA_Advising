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hw233_st-andrews_ac_uk/Documents/Service STAR/School Service/DoT/StA_Advising/src/advising/"/>
    </mc:Choice>
  </mc:AlternateContent>
  <xr:revisionPtr revIDLastSave="17" documentId="13_ncr:1_{512B0E99-D0D4-904E-9A76-C0B28B78645E}" xr6:coauthVersionLast="47" xr6:coauthVersionMax="47" xr10:uidLastSave="{32C05BCD-C201-4DCE-A4B9-4D33C22A6196}"/>
  <bookViews>
    <workbookView xWindow="-108" yWindow="-108" windowWidth="23256" windowHeight="13896" xr2:uid="{4F9A127D-94E5-E147-ADFA-9B9D4F5F7BAB}"/>
  </bookViews>
  <sheets>
    <sheet name="Sheet1" sheetId="1" r:id="rId1"/>
  </sheets>
  <definedNames>
    <definedName name="_xlnm._FilterDatabase" localSheetId="0" hidden="1">Sheet1!$A$1:$K$104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3" i="1" l="1"/>
  <c r="J106" i="1"/>
  <c r="J102" i="1"/>
  <c r="J5" i="1"/>
  <c r="J6" i="1"/>
  <c r="J7" i="1"/>
  <c r="J8" i="1"/>
  <c r="J9" i="1"/>
  <c r="J3" i="1"/>
  <c r="J4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4" i="1"/>
  <c r="J105" i="1"/>
  <c r="J2" i="1"/>
</calcChain>
</file>

<file path=xl/sharedStrings.xml><?xml version="1.0" encoding="utf-8"?>
<sst xmlns="http://schemas.openxmlformats.org/spreadsheetml/2006/main" count="860" uniqueCount="324">
  <si>
    <t>Module code</t>
  </si>
  <si>
    <t>Module name</t>
  </si>
  <si>
    <t>Year</t>
  </si>
  <si>
    <t>Semester</t>
  </si>
  <si>
    <t>Timetable</t>
  </si>
  <si>
    <t>Alternate years</t>
  </si>
  <si>
    <t>Prerequisites</t>
  </si>
  <si>
    <t>Antirequisites</t>
  </si>
  <si>
    <t>MT2501</t>
  </si>
  <si>
    <t>Linear Mathematics</t>
  </si>
  <si>
    <t>2022/2023</t>
  </si>
  <si>
    <t>S1</t>
  </si>
  <si>
    <t>12noon Mon (odd weeks), Wed, Fri</t>
  </si>
  <si>
    <t>No</t>
  </si>
  <si>
    <t>MT1002</t>
  </si>
  <si>
    <t>S2</t>
  </si>
  <si>
    <t>11am Mon (even weeks), Tue, Thu</t>
  </si>
  <si>
    <t>MT2502</t>
  </si>
  <si>
    <t>Analysis</t>
  </si>
  <si>
    <t>MT2503</t>
  </si>
  <si>
    <t>Multivariate Calculus</t>
  </si>
  <si>
    <t>12noon Mon (even weeks), Tue, Thu</t>
  </si>
  <si>
    <t>9am Mon (odd weeks), Wed, Fri</t>
  </si>
  <si>
    <t>MT2504</t>
  </si>
  <si>
    <t>Combinatorics and Probability</t>
  </si>
  <si>
    <t>11am Mons (odd weeks), Wed, 4pm Fri</t>
  </si>
  <si>
    <t>MT2505</t>
  </si>
  <si>
    <t>Abstract Algebra</t>
  </si>
  <si>
    <t>11am Mon (odd weeks), Wed, Fri</t>
  </si>
  <si>
    <t>MT2506</t>
  </si>
  <si>
    <t>Vector Calculus</t>
  </si>
  <si>
    <t>9am Mon (even weeks), Tue, Thu</t>
  </si>
  <si>
    <t>MT2507</t>
  </si>
  <si>
    <t>Mathematical Modelling</t>
  </si>
  <si>
    <t>MT2508</t>
  </si>
  <si>
    <t>Statistical Inference</t>
  </si>
  <si>
    <t>EC2203</t>
  </si>
  <si>
    <t>MT2901</t>
  </si>
  <si>
    <t>Mathematical concepts through history</t>
  </si>
  <si>
    <t>6pm Wed, 7pm Wed, 9pm Wed</t>
  </si>
  <si>
    <t>MT3501</t>
  </si>
  <si>
    <t>Linear Mathematics 2</t>
  </si>
  <si>
    <t>MT3502</t>
  </si>
  <si>
    <t>Real Analysis</t>
  </si>
  <si>
    <t>MT3503</t>
  </si>
  <si>
    <t>Complex Analysis</t>
  </si>
  <si>
    <t>MT2502 or MT2503</t>
  </si>
  <si>
    <t>MT3504</t>
  </si>
  <si>
    <t>Differential Equations</t>
  </si>
  <si>
    <t>MT3505</t>
  </si>
  <si>
    <t>Algebra: Rings and Fields</t>
  </si>
  <si>
    <t>MT3506</t>
  </si>
  <si>
    <t>Techniques of Applied Mathematics</t>
  </si>
  <si>
    <t>MT2506 and MT3504</t>
  </si>
  <si>
    <t>PH3081</t>
  </si>
  <si>
    <t>MT3507</t>
  </si>
  <si>
    <t>Mathematical Statistics</t>
  </si>
  <si>
    <t>MT3508</t>
  </si>
  <si>
    <t>Applied Statistics</t>
  </si>
  <si>
    <t>MT3510</t>
  </si>
  <si>
    <t>Introduction to Mathematical Computing</t>
  </si>
  <si>
    <t>MT3501 or MT3502 or MT3503 or MT3504 or MT3505 or MT3506 or MT3507 or MT3508</t>
  </si>
  <si>
    <t>MT4003</t>
  </si>
  <si>
    <t>Groups</t>
  </si>
  <si>
    <t>MT4004</t>
  </si>
  <si>
    <t>Real and Abstract Analysis</t>
  </si>
  <si>
    <t>MT4005</t>
  </si>
  <si>
    <t>Linear and Nonlinear Waves</t>
  </si>
  <si>
    <t>MT4112</t>
  </si>
  <si>
    <t>Computational Numerical Analysis</t>
  </si>
  <si>
    <t>2023/2024</t>
  </si>
  <si>
    <t>10am Mon (odd weeks), Wed, Fri</t>
  </si>
  <si>
    <t>MT3510 and co-requisite MT3504</t>
  </si>
  <si>
    <t>Not on a Computer Science programme</t>
  </si>
  <si>
    <t>MT4113</t>
  </si>
  <si>
    <t>Computing in Statistics</t>
  </si>
  <si>
    <t>12noon Mon (odd weeks), Wed, Fri, 1pm Fri</t>
  </si>
  <si>
    <t>MT2508 and MT3510</t>
  </si>
  <si>
    <t>MT4501</t>
  </si>
  <si>
    <t>Topics in the History of Mathematics</t>
  </si>
  <si>
    <t>Yes</t>
  </si>
  <si>
    <t>MT5613</t>
  </si>
  <si>
    <t>MT4507</t>
  </si>
  <si>
    <t>Classical Mechanics</t>
  </si>
  <si>
    <t>10am Mon (even weeks), Tue, Thu</t>
  </si>
  <si>
    <t>MT3504 and (MT2506 or PH3081)</t>
  </si>
  <si>
    <t>PH4038</t>
  </si>
  <si>
    <t>MT4508</t>
  </si>
  <si>
    <t>Dynamical Systems</t>
  </si>
  <si>
    <t>MT4509</t>
  </si>
  <si>
    <t>Fluid Dynamics</t>
  </si>
  <si>
    <t>MT4510</t>
  </si>
  <si>
    <t>Solar Theory</t>
  </si>
  <si>
    <t>MT4511</t>
  </si>
  <si>
    <t>Asymptotic Methods</t>
  </si>
  <si>
    <t>MT4512</t>
  </si>
  <si>
    <t>Automata, Languages and Complexity</t>
  </si>
  <si>
    <t>MT2504 or ((CS2001 or CS2101) and CS2002)</t>
  </si>
  <si>
    <t>CS3052, MT3852</t>
  </si>
  <si>
    <t>MT4513</t>
  </si>
  <si>
    <t>Fractal Geometry</t>
  </si>
  <si>
    <t>MT2503 and (MT3501 or MT3502 or MT3503 or MT3504)</t>
  </si>
  <si>
    <t>MT4514</t>
  </si>
  <si>
    <t>Graph Theory</t>
  </si>
  <si>
    <t>MT4515</t>
  </si>
  <si>
    <t>Functional Analysis</t>
  </si>
  <si>
    <t>MT2501 and MT3502</t>
  </si>
  <si>
    <t>MT4516</t>
  </si>
  <si>
    <t>Finite Mathematics</t>
  </si>
  <si>
    <t>MT2504 or MT2505</t>
  </si>
  <si>
    <t>MT4519</t>
  </si>
  <si>
    <t>Number Theory</t>
  </si>
  <si>
    <t>MT2505 and (MT3501 or MT3502 or MT3503 or MT3504 or MT3505)</t>
  </si>
  <si>
    <t>MT4526</t>
  </si>
  <si>
    <t>Topology</t>
  </si>
  <si>
    <t>MT4527</t>
  </si>
  <si>
    <t>Time Series Analysis</t>
  </si>
  <si>
    <t>MT4528</t>
  </si>
  <si>
    <t>Markov Chains and Processes</t>
  </si>
  <si>
    <t>MT4530</t>
  </si>
  <si>
    <t>Population Genetics</t>
  </si>
  <si>
    <t>2025/2026</t>
  </si>
  <si>
    <t>MT4531</t>
  </si>
  <si>
    <t>Bayesian Inference</t>
  </si>
  <si>
    <t>MT3507 or MT3508</t>
  </si>
  <si>
    <t>MT5731, MT5831</t>
  </si>
  <si>
    <t>MT4537</t>
  </si>
  <si>
    <t>Spatial Statistics</t>
  </si>
  <si>
    <t>2024/2025</t>
  </si>
  <si>
    <t>MT4539</t>
  </si>
  <si>
    <t>Quantitative Risk Management</t>
  </si>
  <si>
    <t>12noon Mon (odd weeks), Wed, Fri, 2pm Fri</t>
  </si>
  <si>
    <t>MT2504 and MT2508</t>
  </si>
  <si>
    <t>MT4551</t>
  </si>
  <si>
    <t>Financial Mathematics</t>
  </si>
  <si>
    <t>MT4552</t>
  </si>
  <si>
    <t>Population Dynamics Models in Mathematical Biology</t>
  </si>
  <si>
    <t>MT4553</t>
  </si>
  <si>
    <t>Theory of Electric and Magnetic Fields</t>
  </si>
  <si>
    <t>MT2503 and MT2506 and MT3504</t>
  </si>
  <si>
    <t>PH3007</t>
  </si>
  <si>
    <t>MT4554</t>
  </si>
  <si>
    <t>Game Theory</t>
  </si>
  <si>
    <t>(MT2503 and MT2504) or EC3304</t>
  </si>
  <si>
    <t>MT4598</t>
  </si>
  <si>
    <t>Enterprise Project in Mathematics / Statistics</t>
  </si>
  <si>
    <t>Full Year</t>
  </si>
  <si>
    <t>Letter of Agreement</t>
  </si>
  <si>
    <t>MT4599</t>
  </si>
  <si>
    <t>Project in Mathematics / Statistics</t>
  </si>
  <si>
    <t>MT4606</t>
  </si>
  <si>
    <t>Classical Statistical Inference</t>
  </si>
  <si>
    <t>MT5701</t>
  </si>
  <si>
    <t>MT4608</t>
  </si>
  <si>
    <t>Sampling Theory</t>
  </si>
  <si>
    <t>MT4614</t>
  </si>
  <si>
    <t>Design of Experiments</t>
  </si>
  <si>
    <t>MT2508 and MT3501</t>
  </si>
  <si>
    <t>MT4794</t>
  </si>
  <si>
    <t>Joint Dissertation (30cr)</t>
  </si>
  <si>
    <t>MT4796</t>
  </si>
  <si>
    <t>Joint Project (30cr)</t>
  </si>
  <si>
    <t>MT5095</t>
  </si>
  <si>
    <t>Dissertation for MSc Mathematical Biology</t>
  </si>
  <si>
    <t>MT5097</t>
  </si>
  <si>
    <t>Portfolio Dissertation for Statistical Ecology</t>
  </si>
  <si>
    <t>MT5098</t>
  </si>
  <si>
    <t>Group Dissertation for MSc Programme/s</t>
  </si>
  <si>
    <t>MT5099</t>
  </si>
  <si>
    <t>Dissertation for MSc Programme/s</t>
  </si>
  <si>
    <t>MT5590</t>
  </si>
  <si>
    <t>Independent Study Module</t>
  </si>
  <si>
    <t>MT5599</t>
  </si>
  <si>
    <t>Advanced Project in Mathematics / Statistics</t>
  </si>
  <si>
    <t>MT5731</t>
  </si>
  <si>
    <t>Advanced Bayesian Inference</t>
  </si>
  <si>
    <t>MT4531, MT5831</t>
  </si>
  <si>
    <t>MT5751</t>
  </si>
  <si>
    <t>Estimating Animal Abundance and Biodiversity</t>
  </si>
  <si>
    <t>MT3507 or MT3508 or MT5761</t>
  </si>
  <si>
    <t>MT5758</t>
  </si>
  <si>
    <t>Multivariate Analysis</t>
  </si>
  <si>
    <t>MT4609</t>
  </si>
  <si>
    <t>MT5761</t>
  </si>
  <si>
    <t>Applied Statistical Modelling using GLMs</t>
  </si>
  <si>
    <t>3pm Mon, 3pm Tue, 3pm Thu, 3pm Fri</t>
  </si>
  <si>
    <t>MT4113 or MT4527 or MT4528 or MT4530 or MT4531 or MT4537 or MT4539 or MT4606 or MT4608 or MT4609 or MT4614</t>
  </si>
  <si>
    <t>MT4607, MT5753</t>
  </si>
  <si>
    <t>MT5762</t>
  </si>
  <si>
    <t>Introductory Data Analysis</t>
  </si>
  <si>
    <t>3pm Mon, 3pm Thu, 3pm Fri, 4pm Mon, 4pm Thu, 4pm Fri</t>
  </si>
  <si>
    <t>Students must have gained admission onto an MSc programme</t>
  </si>
  <si>
    <t>MT5756</t>
  </si>
  <si>
    <t>MT5763</t>
  </si>
  <si>
    <t>Software for Data Analysis</t>
  </si>
  <si>
    <t>MT5764</t>
  </si>
  <si>
    <t>Advanced Data Analysis</t>
  </si>
  <si>
    <t>MT3508 and (MT4606 or MT5761)</t>
  </si>
  <si>
    <t>MT5757</t>
  </si>
  <si>
    <t>MT5765</t>
  </si>
  <si>
    <t>Medical Statistics</t>
  </si>
  <si>
    <t>MT5766</t>
  </si>
  <si>
    <t>Statistical Problem Solving</t>
  </si>
  <si>
    <t>2pm Thu</t>
  </si>
  <si>
    <t>MT5767</t>
  </si>
  <si>
    <t>Modelling Wildlife Population Dynamics</t>
  </si>
  <si>
    <t>MT5842</t>
  </si>
  <si>
    <t>Advanced Analytical Techniques</t>
  </si>
  <si>
    <t>MT5802</t>
  </si>
  <si>
    <t>MT5846</t>
  </si>
  <si>
    <t>Advanced Computational Techniques</t>
  </si>
  <si>
    <t>MT5849</t>
  </si>
  <si>
    <t>Geophysical Fluid Dynamics</t>
  </si>
  <si>
    <t>MT5809</t>
  </si>
  <si>
    <t>MT5850</t>
  </si>
  <si>
    <t>Advanced Solar Theory</t>
  </si>
  <si>
    <t>MT5810</t>
  </si>
  <si>
    <t>MT5853</t>
  </si>
  <si>
    <t>Spatial Models and Pattern Formation in Math Bio</t>
  </si>
  <si>
    <t>MT5852</t>
  </si>
  <si>
    <t>MT5854</t>
  </si>
  <si>
    <t>Mathematical Oncology</t>
  </si>
  <si>
    <t>MT5855</t>
  </si>
  <si>
    <t>MT5856</t>
  </si>
  <si>
    <t>Calculus of Variations in Biological Modelling</t>
  </si>
  <si>
    <t>MT5861</t>
  </si>
  <si>
    <t>Advanced Combinatorics</t>
  </si>
  <si>
    <t>MT4514 or MT4516</t>
  </si>
  <si>
    <t>MT5821</t>
  </si>
  <si>
    <t>MT5862</t>
  </si>
  <si>
    <t>Discrete Geometry</t>
  </si>
  <si>
    <t>MT2504 and MT3501 and (MT3502 or MT3505 or MT3852 or MT4003 or MT4514 or MT4516 or MT4512 )</t>
  </si>
  <si>
    <t>MT5863</t>
  </si>
  <si>
    <t>Semigroups</t>
  </si>
  <si>
    <t>1pm Mon, Thu, Fri</t>
  </si>
  <si>
    <t>MT3505 or MT4003</t>
  </si>
  <si>
    <t>MT5823</t>
  </si>
  <si>
    <t>MT5864</t>
  </si>
  <si>
    <t>Advanced Group Theory</t>
  </si>
  <si>
    <t>MT5824</t>
  </si>
  <si>
    <t>MT5865</t>
  </si>
  <si>
    <t>Measure Theory</t>
  </si>
  <si>
    <t>MT5825</t>
  </si>
  <si>
    <t>MT5866</t>
  </si>
  <si>
    <t>Probability Theory</t>
  </si>
  <si>
    <t>MT2504 and MT3502</t>
  </si>
  <si>
    <t>MT5867</t>
  </si>
  <si>
    <t>Mathematical Logic and Set Theory</t>
  </si>
  <si>
    <t>two of (MT3505, MT4003, MT4004, MT4512, MT4514, MT4515, MT4526)</t>
  </si>
  <si>
    <t>CS3050</t>
  </si>
  <si>
    <t>MT5868</t>
  </si>
  <si>
    <t>Advanced Ring Theory</t>
  </si>
  <si>
    <t>MT5869</t>
  </si>
  <si>
    <t>Geometric Group Theory</t>
  </si>
  <si>
    <t>MT4003 and MT4526</t>
  </si>
  <si>
    <t>MT5870</t>
  </si>
  <si>
    <t>Hyperbolic Geometry</t>
  </si>
  <si>
    <t>MT2505 and MT3502 and MT3503</t>
  </si>
  <si>
    <t>MT5830</t>
  </si>
  <si>
    <t>MT5876</t>
  </si>
  <si>
    <t>Galois Theory</t>
  </si>
  <si>
    <t>MT5836</t>
  </si>
  <si>
    <t>MT5877</t>
  </si>
  <si>
    <t>Ergodic Theory and Dynamical Systems</t>
  </si>
  <si>
    <t>MT5865 or MT5825</t>
  </si>
  <si>
    <t>MT5837</t>
  </si>
  <si>
    <t>MT5991</t>
  </si>
  <si>
    <t>Professional Skills for Mathematical Scientists</t>
  </si>
  <si>
    <t>ID5059</t>
  </si>
  <si>
    <t>Knowledge Discovery and Datamining</t>
  </si>
  <si>
    <t>CS5014</t>
  </si>
  <si>
    <t>ID2003</t>
  </si>
  <si>
    <t>Science Methods</t>
  </si>
  <si>
    <t>1pm Mon, 1pm Tue, 4pm Thu</t>
  </si>
  <si>
    <t>ID2005</t>
  </si>
  <si>
    <t>Scientific Thinking</t>
  </si>
  <si>
    <t>1pm Mon, Tue, Wed</t>
  </si>
  <si>
    <t>MT4561</t>
  </si>
  <si>
    <t>The History and Future of Data</t>
  </si>
  <si>
    <t>(MT2506 or PH3081) and MT3504</t>
  </si>
  <si>
    <t>MT3504 and (MT2504 or EC2203 or PH3012)</t>
  </si>
  <si>
    <t>co-requisite MT4113 or MT5763</t>
  </si>
  <si>
    <t>co-requisite MT3501 or co-requisite MT3502 or co-requisite MT3503 or co-requisite MT3504 or co-requisite MT3505 or co-requisite MT3506 or co-requisite MT3507 or co-requisite MT3508</t>
  </si>
  <si>
    <t>MT1007 or MT2508 or EC2203 or PH3012 and (co-requisite MT3501 or co-requisite MT3502 or co-requisite MT3503 or co-requisite MT3504 or co-requisite MT3505 or co-requisite MT3506 or co-requisite MT3507 or co-requisite MT3508)</t>
  </si>
  <si>
    <t>co-requisite MT3504</t>
  </si>
  <si>
    <t>MT2501 and MT2503 and MT2508</t>
  </si>
  <si>
    <t>2098/2099</t>
  </si>
  <si>
    <t>(MT2506 and MT3504) or PH3081</t>
  </si>
  <si>
    <t>Stochastic Dynamics</t>
  </si>
  <si>
    <t>MT2504 and MT3504</t>
  </si>
  <si>
    <t xml:space="preserve">Applied Bayesian Statistics </t>
  </si>
  <si>
    <t>MT4571</t>
  </si>
  <si>
    <t>MT4570</t>
  </si>
  <si>
    <t>Statistical Machine Learning</t>
  </si>
  <si>
    <t>5pm Mon, 5pm Tue</t>
  </si>
  <si>
    <t>Division (P=Pure, A=Applied, S=Statistics, H=History, X=Other)</t>
  </si>
  <si>
    <t>S</t>
  </si>
  <si>
    <t>MT1001</t>
  </si>
  <si>
    <t>Introductory Mathematics</t>
  </si>
  <si>
    <t>A/P</t>
  </si>
  <si>
    <t>Mathematics</t>
  </si>
  <si>
    <t>P</t>
  </si>
  <si>
    <t>A</t>
  </si>
  <si>
    <t>P/S</t>
  </si>
  <si>
    <t>H</t>
  </si>
  <si>
    <t>MT5871</t>
  </si>
  <si>
    <t>Representation Theory</t>
  </si>
  <si>
    <t>MT5872</t>
  </si>
  <si>
    <t>Algebraic Geometry</t>
  </si>
  <si>
    <t>MT1003</t>
  </si>
  <si>
    <t>Pure and Applied Mathematics</t>
  </si>
  <si>
    <t>MT1007</t>
  </si>
  <si>
    <t>Statistics in Practice</t>
  </si>
  <si>
    <t>A/P/S</t>
  </si>
  <si>
    <t>X</t>
  </si>
  <si>
    <t>Running Status</t>
  </si>
  <si>
    <t>9am Mon, Tue, Wed, Thu, Fri</t>
  </si>
  <si>
    <t>1pm Mon, Tue, Thu, Fri</t>
  </si>
  <si>
    <t>11am Mon, Tue, Wed, Thu, Fri</t>
  </si>
  <si>
    <t>See module catalogue</t>
  </si>
  <si>
    <t>2026/2027</t>
  </si>
  <si>
    <t>MT3501 and MT3505 and MT4003</t>
  </si>
  <si>
    <t>2027/2028</t>
  </si>
  <si>
    <t>2028/2029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</si>
</sst>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25B0-B9FD-1C45-BA4C-1792B9B50D49}">
  <dimension ref="A1:J106"/>
  <sheetViews>
    <sheetView tabSelected="1" topLeftCell="A56" zoomScale="110" zoomScaleNormal="110" workbookViewId="0">
      <selection activeCell="C58" sqref="C58"/>
    </sheetView>
  </sheetViews>
  <sheetFormatPr defaultColWidth="10.796875" defaultRowHeight="18" x14ac:dyDescent="0.35"/>
  <cols>
    <col min="1" max="1" width="15.796875" style="1" customWidth="1"/>
    <col min="2" max="2" width="70.796875" style="1" customWidth="1"/>
    <col min="3" max="3" width="21.796875" style="1" customWidth="1"/>
    <col min="4" max="4" width="13.296875" style="1" customWidth="1"/>
    <col min="5" max="5" width="59.69921875" style="1" customWidth="1"/>
    <col min="6" max="6" width="19" style="1" customWidth="1"/>
    <col min="7" max="7" width="138" style="1" bestFit="1" customWidth="1"/>
    <col min="8" max="8" width="69.19921875" style="1" customWidth="1"/>
    <col min="9" max="9" width="35" style="1" customWidth="1"/>
    <col min="10" max="10" width="22.5" style="1" bestFit="1" customWidth="1"/>
    <col min="11" max="16384" width="10.796875" style="1"/>
  </cols>
  <sheetData>
    <row r="1" spans="1:10" s="2" customFormat="1" ht="3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295</v>
      </c>
      <c r="J1" s="2" t="s">
        <v>315</v>
      </c>
    </row>
    <row r="2" spans="1:10" s="2" customFormat="1" x14ac:dyDescent="0.35">
      <c r="A2" s="1" t="s">
        <v>271</v>
      </c>
      <c r="B2" s="1" t="s">
        <v>272</v>
      </c>
      <c r="C2" s="1" t="s">
        <v>10</v>
      </c>
      <c r="D2" s="1" t="s">
        <v>11</v>
      </c>
      <c r="E2" s="1" t="s">
        <v>273</v>
      </c>
      <c r="F2" s="1" t="s">
        <v>13</v>
      </c>
      <c r="G2" s="1"/>
      <c r="H2" s="1" t="s">
        <v>274</v>
      </c>
      <c r="I2" s="1" t="s">
        <v>296</v>
      </c>
      <c r="J2" s="1" t="str">
        <f t="shared" ref="J2:J33" si="0">IF(VALUE(LEFT(C2,4))&gt;2050,"Temp withdrawal",IF(F2="No","Runs every year",IF(ISEVEN(VALUE(LEFT(C2,4))),"Alternates (2026/27)","Alternates (2027/28)")))</f>
        <v>Runs every year</v>
      </c>
    </row>
    <row r="3" spans="1:10" s="2" customFormat="1" x14ac:dyDescent="0.35">
      <c r="A3" s="1" t="s">
        <v>274</v>
      </c>
      <c r="B3" s="1" t="s">
        <v>275</v>
      </c>
      <c r="C3" s="1" t="s">
        <v>10</v>
      </c>
      <c r="D3" s="1" t="s">
        <v>11</v>
      </c>
      <c r="E3" s="1" t="s">
        <v>276</v>
      </c>
      <c r="F3" s="1" t="s">
        <v>13</v>
      </c>
      <c r="G3" s="1"/>
      <c r="H3" s="1" t="s">
        <v>271</v>
      </c>
      <c r="I3" s="1" t="s">
        <v>296</v>
      </c>
      <c r="J3" s="1" t="str">
        <f t="shared" si="0"/>
        <v>Runs every year</v>
      </c>
    </row>
    <row r="4" spans="1:10" s="2" customFormat="1" x14ac:dyDescent="0.35">
      <c r="A4" s="1" t="s">
        <v>268</v>
      </c>
      <c r="B4" s="1" t="s">
        <v>269</v>
      </c>
      <c r="C4" s="1" t="s">
        <v>10</v>
      </c>
      <c r="D4" s="1" t="s">
        <v>15</v>
      </c>
      <c r="E4" s="1" t="s">
        <v>294</v>
      </c>
      <c r="F4" s="1" t="s">
        <v>13</v>
      </c>
      <c r="G4" s="1"/>
      <c r="H4" s="1" t="s">
        <v>270</v>
      </c>
      <c r="I4" s="1" t="s">
        <v>296</v>
      </c>
      <c r="J4" s="1" t="str">
        <f t="shared" si="0"/>
        <v>Runs every year</v>
      </c>
    </row>
    <row r="5" spans="1:10" s="2" customFormat="1" x14ac:dyDescent="0.35">
      <c r="A5" s="1" t="s">
        <v>297</v>
      </c>
      <c r="B5" s="1" t="s">
        <v>298</v>
      </c>
      <c r="C5" s="1" t="s">
        <v>10</v>
      </c>
      <c r="D5" s="1" t="s">
        <v>11</v>
      </c>
      <c r="E5" s="1" t="s">
        <v>316</v>
      </c>
      <c r="F5" s="1" t="s">
        <v>13</v>
      </c>
      <c r="G5" s="1" t="s">
        <v>319</v>
      </c>
      <c r="I5" s="1" t="s">
        <v>299</v>
      </c>
      <c r="J5" s="1" t="str">
        <f t="shared" si="0"/>
        <v>Runs every year</v>
      </c>
    </row>
    <row r="6" spans="1:10" s="2" customFormat="1" x14ac:dyDescent="0.35">
      <c r="A6" s="1" t="s">
        <v>14</v>
      </c>
      <c r="B6" s="1" t="s">
        <v>300</v>
      </c>
      <c r="C6" s="1" t="s">
        <v>10</v>
      </c>
      <c r="D6" s="1" t="s">
        <v>11</v>
      </c>
      <c r="E6" s="1" t="s">
        <v>316</v>
      </c>
      <c r="F6" s="1" t="s">
        <v>13</v>
      </c>
      <c r="G6" s="1" t="s">
        <v>319</v>
      </c>
      <c r="I6" s="1" t="s">
        <v>299</v>
      </c>
      <c r="J6" s="1" t="str">
        <f t="shared" si="0"/>
        <v>Runs every year</v>
      </c>
    </row>
    <row r="7" spans="1:10" x14ac:dyDescent="0.35">
      <c r="A7" s="1" t="s">
        <v>14</v>
      </c>
      <c r="B7" s="1" t="s">
        <v>300</v>
      </c>
      <c r="C7" s="1" t="s">
        <v>10</v>
      </c>
      <c r="D7" s="1" t="s">
        <v>15</v>
      </c>
      <c r="E7" s="1" t="s">
        <v>316</v>
      </c>
      <c r="F7" s="1" t="s">
        <v>13</v>
      </c>
      <c r="G7" s="1" t="s">
        <v>319</v>
      </c>
      <c r="H7" s="2"/>
      <c r="I7" s="1" t="s">
        <v>299</v>
      </c>
      <c r="J7" s="1" t="str">
        <f t="shared" si="0"/>
        <v>Runs every year</v>
      </c>
    </row>
    <row r="8" spans="1:10" x14ac:dyDescent="0.35">
      <c r="A8" s="1" t="s">
        <v>309</v>
      </c>
      <c r="B8" s="1" t="s">
        <v>310</v>
      </c>
      <c r="C8" s="1" t="s">
        <v>10</v>
      </c>
      <c r="D8" s="1" t="s">
        <v>15</v>
      </c>
      <c r="E8" s="1" t="s">
        <v>317</v>
      </c>
      <c r="F8" s="1" t="s">
        <v>13</v>
      </c>
      <c r="G8" s="1" t="s">
        <v>14</v>
      </c>
      <c r="H8" s="2"/>
      <c r="I8" s="1" t="s">
        <v>299</v>
      </c>
      <c r="J8" s="1" t="str">
        <f t="shared" si="0"/>
        <v>Runs every year</v>
      </c>
    </row>
    <row r="9" spans="1:10" x14ac:dyDescent="0.35">
      <c r="A9" s="1" t="s">
        <v>311</v>
      </c>
      <c r="B9" s="1" t="s">
        <v>312</v>
      </c>
      <c r="C9" s="1" t="s">
        <v>10</v>
      </c>
      <c r="D9" s="1" t="s">
        <v>15</v>
      </c>
      <c r="E9" s="1" t="s">
        <v>318</v>
      </c>
      <c r="F9" s="1" t="s">
        <v>13</v>
      </c>
      <c r="G9" s="1" t="s">
        <v>319</v>
      </c>
      <c r="H9" s="2"/>
      <c r="I9" s="4" t="s">
        <v>296</v>
      </c>
      <c r="J9" s="1" t="str">
        <f t="shared" si="0"/>
        <v>Runs every year</v>
      </c>
    </row>
    <row r="10" spans="1:10" x14ac:dyDescent="0.35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I10" s="1" t="s">
        <v>299</v>
      </c>
      <c r="J10" s="1" t="str">
        <f t="shared" si="0"/>
        <v>Runs every year</v>
      </c>
    </row>
    <row r="11" spans="1:10" x14ac:dyDescent="0.35">
      <c r="A11" s="1" t="s">
        <v>8</v>
      </c>
      <c r="B11" s="1" t="s">
        <v>9</v>
      </c>
      <c r="C11" s="1" t="s">
        <v>10</v>
      </c>
      <c r="D11" s="1" t="s">
        <v>15</v>
      </c>
      <c r="E11" s="1" t="s">
        <v>16</v>
      </c>
      <c r="F11" s="1" t="s">
        <v>13</v>
      </c>
      <c r="G11" s="1" t="s">
        <v>14</v>
      </c>
      <c r="I11" s="1" t="s">
        <v>299</v>
      </c>
      <c r="J11" s="1" t="str">
        <f t="shared" si="0"/>
        <v>Runs every year</v>
      </c>
    </row>
    <row r="12" spans="1:10" x14ac:dyDescent="0.35">
      <c r="A12" s="1" t="s">
        <v>17</v>
      </c>
      <c r="B12" s="1" t="s">
        <v>18</v>
      </c>
      <c r="C12" s="1" t="s">
        <v>10</v>
      </c>
      <c r="D12" s="1" t="s">
        <v>11</v>
      </c>
      <c r="E12" s="1" t="s">
        <v>16</v>
      </c>
      <c r="F12" s="1" t="s">
        <v>13</v>
      </c>
      <c r="G12" s="1" t="s">
        <v>14</v>
      </c>
      <c r="I12" s="1" t="s">
        <v>301</v>
      </c>
      <c r="J12" s="1" t="str">
        <f t="shared" si="0"/>
        <v>Runs every year</v>
      </c>
    </row>
    <row r="13" spans="1:10" x14ac:dyDescent="0.35">
      <c r="A13" s="1" t="s">
        <v>19</v>
      </c>
      <c r="B13" s="1" t="s">
        <v>20</v>
      </c>
      <c r="C13" s="1" t="s">
        <v>10</v>
      </c>
      <c r="D13" s="1" t="s">
        <v>11</v>
      </c>
      <c r="E13" s="1" t="s">
        <v>21</v>
      </c>
      <c r="F13" s="1" t="s">
        <v>13</v>
      </c>
      <c r="G13" s="1" t="s">
        <v>14</v>
      </c>
      <c r="I13" s="1" t="s">
        <v>302</v>
      </c>
      <c r="J13" s="1" t="str">
        <f t="shared" si="0"/>
        <v>Runs every year</v>
      </c>
    </row>
    <row r="14" spans="1:10" x14ac:dyDescent="0.35">
      <c r="A14" s="1" t="s">
        <v>19</v>
      </c>
      <c r="B14" s="1" t="s">
        <v>20</v>
      </c>
      <c r="C14" s="1" t="s">
        <v>10</v>
      </c>
      <c r="D14" s="1" t="s">
        <v>15</v>
      </c>
      <c r="E14" s="1" t="s">
        <v>22</v>
      </c>
      <c r="F14" s="1" t="s">
        <v>13</v>
      </c>
      <c r="G14" s="1" t="s">
        <v>14</v>
      </c>
      <c r="I14" s="1" t="s">
        <v>302</v>
      </c>
      <c r="J14" s="1" t="str">
        <f t="shared" si="0"/>
        <v>Runs every year</v>
      </c>
    </row>
    <row r="15" spans="1:10" x14ac:dyDescent="0.35">
      <c r="A15" s="1" t="s">
        <v>23</v>
      </c>
      <c r="B15" s="1" t="s">
        <v>24</v>
      </c>
      <c r="C15" s="1" t="s">
        <v>10</v>
      </c>
      <c r="D15" s="1" t="s">
        <v>11</v>
      </c>
      <c r="E15" s="1" t="s">
        <v>25</v>
      </c>
      <c r="F15" s="1" t="s">
        <v>13</v>
      </c>
      <c r="G15" s="1" t="s">
        <v>14</v>
      </c>
      <c r="I15" s="1" t="s">
        <v>303</v>
      </c>
      <c r="J15" s="1" t="str">
        <f t="shared" si="0"/>
        <v>Runs every year</v>
      </c>
    </row>
    <row r="16" spans="1:10" x14ac:dyDescent="0.35">
      <c r="A16" s="1" t="s">
        <v>26</v>
      </c>
      <c r="B16" s="1" t="s">
        <v>27</v>
      </c>
      <c r="C16" s="1" t="s">
        <v>10</v>
      </c>
      <c r="D16" s="1" t="s">
        <v>15</v>
      </c>
      <c r="E16" s="1" t="s">
        <v>28</v>
      </c>
      <c r="F16" s="1" t="s">
        <v>13</v>
      </c>
      <c r="G16" s="1" t="s">
        <v>14</v>
      </c>
      <c r="I16" s="1" t="s">
        <v>301</v>
      </c>
      <c r="J16" s="1" t="str">
        <f t="shared" si="0"/>
        <v>Runs every year</v>
      </c>
    </row>
    <row r="17" spans="1:10" x14ac:dyDescent="0.35">
      <c r="A17" s="1" t="s">
        <v>29</v>
      </c>
      <c r="B17" s="1" t="s">
        <v>30</v>
      </c>
      <c r="C17" s="1" t="s">
        <v>10</v>
      </c>
      <c r="D17" s="1" t="s">
        <v>15</v>
      </c>
      <c r="E17" s="1" t="s">
        <v>12</v>
      </c>
      <c r="F17" s="1" t="s">
        <v>13</v>
      </c>
      <c r="G17" s="1" t="s">
        <v>19</v>
      </c>
      <c r="I17" s="1" t="s">
        <v>302</v>
      </c>
      <c r="J17" s="1" t="str">
        <f t="shared" si="0"/>
        <v>Runs every year</v>
      </c>
    </row>
    <row r="18" spans="1:10" x14ac:dyDescent="0.35">
      <c r="A18" s="1" t="s">
        <v>32</v>
      </c>
      <c r="B18" s="1" t="s">
        <v>33</v>
      </c>
      <c r="C18" s="1" t="s">
        <v>10</v>
      </c>
      <c r="D18" s="1" t="s">
        <v>15</v>
      </c>
      <c r="E18" s="1" t="s">
        <v>31</v>
      </c>
      <c r="F18" s="1" t="s">
        <v>13</v>
      </c>
      <c r="G18" s="1" t="s">
        <v>19</v>
      </c>
      <c r="I18" s="1" t="s">
        <v>302</v>
      </c>
      <c r="J18" s="1" t="str">
        <f t="shared" si="0"/>
        <v>Runs every year</v>
      </c>
    </row>
    <row r="19" spans="1:10" x14ac:dyDescent="0.35">
      <c r="A19" s="1" t="s">
        <v>34</v>
      </c>
      <c r="B19" s="1" t="s">
        <v>35</v>
      </c>
      <c r="C19" s="1" t="s">
        <v>10</v>
      </c>
      <c r="D19" s="1" t="s">
        <v>15</v>
      </c>
      <c r="E19" s="1" t="s">
        <v>21</v>
      </c>
      <c r="F19" s="1" t="s">
        <v>13</v>
      </c>
      <c r="G19" s="1" t="s">
        <v>23</v>
      </c>
      <c r="H19" s="1" t="s">
        <v>36</v>
      </c>
      <c r="I19" s="1" t="s">
        <v>296</v>
      </c>
      <c r="J19" s="1" t="str">
        <f t="shared" si="0"/>
        <v>Runs every year</v>
      </c>
    </row>
    <row r="20" spans="1:10" x14ac:dyDescent="0.35">
      <c r="A20" s="1" t="s">
        <v>37</v>
      </c>
      <c r="B20" s="1" t="s">
        <v>38</v>
      </c>
      <c r="C20" s="1" t="s">
        <v>286</v>
      </c>
      <c r="D20" s="1" t="s">
        <v>11</v>
      </c>
      <c r="E20" s="1" t="s">
        <v>39</v>
      </c>
      <c r="F20" s="1" t="s">
        <v>80</v>
      </c>
      <c r="I20" s="1" t="s">
        <v>304</v>
      </c>
      <c r="J20" s="1" t="str">
        <f t="shared" si="0"/>
        <v>Temp withdrawal</v>
      </c>
    </row>
    <row r="21" spans="1:10" x14ac:dyDescent="0.35">
      <c r="A21" s="1" t="s">
        <v>40</v>
      </c>
      <c r="B21" s="1" t="s">
        <v>41</v>
      </c>
      <c r="C21" s="1" t="s">
        <v>10</v>
      </c>
      <c r="D21" s="1" t="s">
        <v>11</v>
      </c>
      <c r="E21" s="1" t="s">
        <v>21</v>
      </c>
      <c r="F21" s="1" t="s">
        <v>13</v>
      </c>
      <c r="G21" s="1" t="s">
        <v>8</v>
      </c>
      <c r="I21" s="1" t="s">
        <v>301</v>
      </c>
      <c r="J21" s="1" t="str">
        <f t="shared" si="0"/>
        <v>Runs every year</v>
      </c>
    </row>
    <row r="22" spans="1:10" x14ac:dyDescent="0.35">
      <c r="A22" s="1" t="s">
        <v>42</v>
      </c>
      <c r="B22" s="1" t="s">
        <v>43</v>
      </c>
      <c r="C22" s="1" t="s">
        <v>10</v>
      </c>
      <c r="D22" s="1" t="s">
        <v>11</v>
      </c>
      <c r="E22" s="1" t="s">
        <v>16</v>
      </c>
      <c r="F22" s="1" t="s">
        <v>13</v>
      </c>
      <c r="G22" s="1" t="s">
        <v>17</v>
      </c>
      <c r="I22" s="1" t="s">
        <v>301</v>
      </c>
      <c r="J22" s="1" t="str">
        <f t="shared" si="0"/>
        <v>Runs every year</v>
      </c>
    </row>
    <row r="23" spans="1:10" x14ac:dyDescent="0.35">
      <c r="A23" s="1" t="s">
        <v>44</v>
      </c>
      <c r="B23" s="1" t="s">
        <v>45</v>
      </c>
      <c r="C23" s="1" t="s">
        <v>10</v>
      </c>
      <c r="D23" s="1" t="s">
        <v>11</v>
      </c>
      <c r="E23" s="1" t="s">
        <v>22</v>
      </c>
      <c r="F23" s="1" t="s">
        <v>13</v>
      </c>
      <c r="G23" s="1" t="s">
        <v>46</v>
      </c>
      <c r="I23" s="1" t="s">
        <v>299</v>
      </c>
      <c r="J23" s="1" t="str">
        <f t="shared" si="0"/>
        <v>Runs every year</v>
      </c>
    </row>
    <row r="24" spans="1:10" x14ac:dyDescent="0.35">
      <c r="A24" s="1" t="s">
        <v>47</v>
      </c>
      <c r="B24" s="1" t="s">
        <v>48</v>
      </c>
      <c r="C24" s="1" t="s">
        <v>10</v>
      </c>
      <c r="D24" s="1" t="s">
        <v>11</v>
      </c>
      <c r="E24" s="1" t="s">
        <v>12</v>
      </c>
      <c r="F24" s="1" t="s">
        <v>13</v>
      </c>
      <c r="G24" s="1" t="s">
        <v>19</v>
      </c>
      <c r="I24" s="1" t="s">
        <v>302</v>
      </c>
      <c r="J24" s="1" t="str">
        <f t="shared" si="0"/>
        <v>Runs every year</v>
      </c>
    </row>
    <row r="25" spans="1:10" x14ac:dyDescent="0.35">
      <c r="A25" s="1" t="s">
        <v>49</v>
      </c>
      <c r="B25" s="1" t="s">
        <v>50</v>
      </c>
      <c r="C25" s="1" t="s">
        <v>10</v>
      </c>
      <c r="D25" s="1" t="s">
        <v>15</v>
      </c>
      <c r="E25" s="1" t="s">
        <v>28</v>
      </c>
      <c r="F25" s="1" t="s">
        <v>13</v>
      </c>
      <c r="G25" s="1" t="s">
        <v>26</v>
      </c>
      <c r="I25" s="1" t="s">
        <v>301</v>
      </c>
      <c r="J25" s="1" t="str">
        <f t="shared" si="0"/>
        <v>Runs every year</v>
      </c>
    </row>
    <row r="26" spans="1:10" x14ac:dyDescent="0.35">
      <c r="A26" s="1" t="s">
        <v>51</v>
      </c>
      <c r="B26" s="1" t="s">
        <v>52</v>
      </c>
      <c r="C26" s="1" t="s">
        <v>10</v>
      </c>
      <c r="D26" s="1" t="s">
        <v>15</v>
      </c>
      <c r="E26" s="1" t="s">
        <v>12</v>
      </c>
      <c r="F26" s="1" t="s">
        <v>13</v>
      </c>
      <c r="G26" s="1" t="s">
        <v>53</v>
      </c>
      <c r="H26" s="1" t="s">
        <v>54</v>
      </c>
      <c r="I26" s="1" t="s">
        <v>302</v>
      </c>
      <c r="J26" s="1" t="str">
        <f t="shared" si="0"/>
        <v>Runs every year</v>
      </c>
    </row>
    <row r="27" spans="1:10" x14ac:dyDescent="0.35">
      <c r="A27" s="1" t="s">
        <v>55</v>
      </c>
      <c r="B27" s="1" t="s">
        <v>56</v>
      </c>
      <c r="C27" s="1" t="s">
        <v>10</v>
      </c>
      <c r="D27" s="1" t="s">
        <v>11</v>
      </c>
      <c r="E27" s="1" t="s">
        <v>28</v>
      </c>
      <c r="F27" s="1" t="s">
        <v>13</v>
      </c>
      <c r="G27" s="1" t="s">
        <v>34</v>
      </c>
      <c r="I27" s="1" t="s">
        <v>296</v>
      </c>
      <c r="J27" s="1" t="str">
        <f t="shared" si="0"/>
        <v>Runs every year</v>
      </c>
    </row>
    <row r="28" spans="1:10" x14ac:dyDescent="0.35">
      <c r="A28" s="1" t="s">
        <v>57</v>
      </c>
      <c r="B28" s="1" t="s">
        <v>58</v>
      </c>
      <c r="C28" s="1" t="s">
        <v>10</v>
      </c>
      <c r="D28" s="1" t="s">
        <v>15</v>
      </c>
      <c r="E28" s="1" t="s">
        <v>21</v>
      </c>
      <c r="F28" s="1" t="s">
        <v>13</v>
      </c>
      <c r="G28" s="1" t="s">
        <v>34</v>
      </c>
      <c r="I28" s="1" t="s">
        <v>296</v>
      </c>
      <c r="J28" s="1" t="str">
        <f t="shared" si="0"/>
        <v>Runs every year</v>
      </c>
    </row>
    <row r="29" spans="1:10" x14ac:dyDescent="0.35">
      <c r="A29" s="1" t="s">
        <v>59</v>
      </c>
      <c r="B29" s="1" t="s">
        <v>60</v>
      </c>
      <c r="C29" s="1" t="s">
        <v>10</v>
      </c>
      <c r="D29" s="1" t="s">
        <v>15</v>
      </c>
      <c r="F29" s="1" t="s">
        <v>13</v>
      </c>
      <c r="G29" s="1" t="s">
        <v>61</v>
      </c>
      <c r="I29" s="1" t="s">
        <v>313</v>
      </c>
      <c r="J29" s="1" t="str">
        <f t="shared" si="0"/>
        <v>Runs every year</v>
      </c>
    </row>
    <row r="30" spans="1:10" x14ac:dyDescent="0.35">
      <c r="A30" s="1" t="s">
        <v>62</v>
      </c>
      <c r="B30" s="1" t="s">
        <v>63</v>
      </c>
      <c r="C30" s="1" t="s">
        <v>10</v>
      </c>
      <c r="D30" s="1" t="s">
        <v>15</v>
      </c>
      <c r="E30" s="1" t="s">
        <v>31</v>
      </c>
      <c r="F30" s="1" t="s">
        <v>13</v>
      </c>
      <c r="G30" s="1" t="s">
        <v>26</v>
      </c>
      <c r="I30" s="1" t="s">
        <v>301</v>
      </c>
      <c r="J30" s="1" t="str">
        <f t="shared" si="0"/>
        <v>Runs every year</v>
      </c>
    </row>
    <row r="31" spans="1:10" x14ac:dyDescent="0.35">
      <c r="A31" s="1" t="s">
        <v>64</v>
      </c>
      <c r="B31" s="1" t="s">
        <v>65</v>
      </c>
      <c r="C31" s="1" t="s">
        <v>10</v>
      </c>
      <c r="D31" s="1" t="s">
        <v>15</v>
      </c>
      <c r="E31" s="1" t="s">
        <v>16</v>
      </c>
      <c r="F31" s="1" t="s">
        <v>13</v>
      </c>
      <c r="G31" s="1" t="s">
        <v>42</v>
      </c>
      <c r="I31" s="1" t="s">
        <v>301</v>
      </c>
      <c r="J31" s="1" t="str">
        <f t="shared" si="0"/>
        <v>Runs every year</v>
      </c>
    </row>
    <row r="32" spans="1:10" x14ac:dyDescent="0.35">
      <c r="A32" s="1" t="s">
        <v>66</v>
      </c>
      <c r="B32" s="1" t="s">
        <v>67</v>
      </c>
      <c r="C32" s="1" t="s">
        <v>128</v>
      </c>
      <c r="D32" s="1" t="s">
        <v>15</v>
      </c>
      <c r="E32" s="1" t="s">
        <v>22</v>
      </c>
      <c r="F32" s="1" t="s">
        <v>80</v>
      </c>
      <c r="G32" s="1" t="s">
        <v>279</v>
      </c>
      <c r="I32" s="1" t="s">
        <v>302</v>
      </c>
      <c r="J32" s="1" t="str">
        <f t="shared" si="0"/>
        <v>Alternates (2026/27)</v>
      </c>
    </row>
    <row r="33" spans="1:10" x14ac:dyDescent="0.35">
      <c r="A33" s="1" t="s">
        <v>68</v>
      </c>
      <c r="B33" s="1" t="s">
        <v>69</v>
      </c>
      <c r="C33" s="1" t="s">
        <v>70</v>
      </c>
      <c r="D33" s="1" t="s">
        <v>11</v>
      </c>
      <c r="E33" s="1" t="s">
        <v>71</v>
      </c>
      <c r="F33" s="1" t="s">
        <v>13</v>
      </c>
      <c r="G33" s="1" t="s">
        <v>72</v>
      </c>
      <c r="H33" s="1" t="s">
        <v>73</v>
      </c>
      <c r="I33" s="1" t="s">
        <v>302</v>
      </c>
      <c r="J33" s="1" t="str">
        <f t="shared" si="0"/>
        <v>Runs every year</v>
      </c>
    </row>
    <row r="34" spans="1:10" x14ac:dyDescent="0.35">
      <c r="A34" s="1" t="s">
        <v>74</v>
      </c>
      <c r="B34" s="1" t="s">
        <v>75</v>
      </c>
      <c r="C34" s="1" t="s">
        <v>10</v>
      </c>
      <c r="D34" s="1" t="s">
        <v>11</v>
      </c>
      <c r="E34" s="1" t="s">
        <v>76</v>
      </c>
      <c r="F34" s="1" t="s">
        <v>13</v>
      </c>
      <c r="G34" s="1" t="s">
        <v>77</v>
      </c>
      <c r="I34" s="1" t="s">
        <v>296</v>
      </c>
      <c r="J34" s="1" t="str">
        <f t="shared" ref="J34:J65" si="1">IF(VALUE(LEFT(C34,4))&gt;2050,"Temp withdrawal",IF(F34="No","Runs every year",IF(ISEVEN(VALUE(LEFT(C34,4))),"Alternates (2026/27)","Alternates (2027/28)")))</f>
        <v>Runs every year</v>
      </c>
    </row>
    <row r="35" spans="1:10" x14ac:dyDescent="0.35">
      <c r="A35" s="1" t="s">
        <v>78</v>
      </c>
      <c r="B35" s="1" t="s">
        <v>79</v>
      </c>
      <c r="C35" s="1" t="s">
        <v>70</v>
      </c>
      <c r="D35" s="1" t="s">
        <v>11</v>
      </c>
      <c r="E35" s="1" t="s">
        <v>12</v>
      </c>
      <c r="F35" s="1" t="s">
        <v>80</v>
      </c>
      <c r="G35" s="1" t="s">
        <v>282</v>
      </c>
      <c r="H35" s="1" t="s">
        <v>81</v>
      </c>
      <c r="I35" s="1" t="s">
        <v>304</v>
      </c>
      <c r="J35" s="1" t="str">
        <f t="shared" si="1"/>
        <v>Alternates (2027/28)</v>
      </c>
    </row>
    <row r="36" spans="1:10" x14ac:dyDescent="0.35">
      <c r="A36" s="1" t="s">
        <v>82</v>
      </c>
      <c r="B36" s="1" t="s">
        <v>83</v>
      </c>
      <c r="C36" s="1" t="s">
        <v>10</v>
      </c>
      <c r="D36" s="1" t="s">
        <v>15</v>
      </c>
      <c r="E36" s="1" t="s">
        <v>84</v>
      </c>
      <c r="F36" s="1" t="s">
        <v>80</v>
      </c>
      <c r="G36" s="1" t="s">
        <v>85</v>
      </c>
      <c r="H36" s="1" t="s">
        <v>86</v>
      </c>
      <c r="I36" s="1" t="s">
        <v>302</v>
      </c>
      <c r="J36" s="1" t="str">
        <f t="shared" si="1"/>
        <v>Alternates (2026/27)</v>
      </c>
    </row>
    <row r="37" spans="1:10" x14ac:dyDescent="0.35">
      <c r="A37" s="1" t="s">
        <v>87</v>
      </c>
      <c r="B37" s="1" t="s">
        <v>88</v>
      </c>
      <c r="C37" s="1" t="s">
        <v>70</v>
      </c>
      <c r="D37" s="1" t="s">
        <v>15</v>
      </c>
      <c r="E37" s="1" t="s">
        <v>84</v>
      </c>
      <c r="F37" s="1" t="s">
        <v>80</v>
      </c>
      <c r="G37" s="1" t="s">
        <v>47</v>
      </c>
      <c r="I37" s="1" t="s">
        <v>302</v>
      </c>
      <c r="J37" s="1" t="str">
        <f t="shared" si="1"/>
        <v>Alternates (2027/28)</v>
      </c>
    </row>
    <row r="38" spans="1:10" x14ac:dyDescent="0.35">
      <c r="A38" s="1" t="s">
        <v>89</v>
      </c>
      <c r="B38" s="1" t="s">
        <v>90</v>
      </c>
      <c r="C38" s="1" t="s">
        <v>10</v>
      </c>
      <c r="D38" s="1" t="s">
        <v>15</v>
      </c>
      <c r="E38" s="1" t="s">
        <v>16</v>
      </c>
      <c r="F38" s="1" t="s">
        <v>13</v>
      </c>
      <c r="G38" s="1" t="s">
        <v>53</v>
      </c>
      <c r="I38" s="1" t="s">
        <v>302</v>
      </c>
      <c r="J38" s="1" t="str">
        <f t="shared" si="1"/>
        <v>Runs every year</v>
      </c>
    </row>
    <row r="39" spans="1:10" x14ac:dyDescent="0.35">
      <c r="A39" s="1" t="s">
        <v>91</v>
      </c>
      <c r="B39" s="1" t="s">
        <v>92</v>
      </c>
      <c r="C39" s="1" t="s">
        <v>10</v>
      </c>
      <c r="D39" s="1" t="s">
        <v>15</v>
      </c>
      <c r="E39" s="1" t="s">
        <v>28</v>
      </c>
      <c r="F39" s="1" t="s">
        <v>13</v>
      </c>
      <c r="G39" s="1" t="s">
        <v>287</v>
      </c>
      <c r="I39" s="1" t="s">
        <v>302</v>
      </c>
      <c r="J39" s="1" t="str">
        <f t="shared" si="1"/>
        <v>Runs every year</v>
      </c>
    </row>
    <row r="40" spans="1:10" x14ac:dyDescent="0.35">
      <c r="A40" s="1" t="s">
        <v>93</v>
      </c>
      <c r="B40" s="1" t="s">
        <v>94</v>
      </c>
      <c r="C40" s="1" t="s">
        <v>10</v>
      </c>
      <c r="D40" s="1" t="s">
        <v>11</v>
      </c>
      <c r="E40" s="1" t="s">
        <v>31</v>
      </c>
      <c r="F40" s="1" t="s">
        <v>80</v>
      </c>
      <c r="G40" s="1" t="s">
        <v>284</v>
      </c>
      <c r="I40" s="1" t="s">
        <v>302</v>
      </c>
      <c r="J40" s="1" t="str">
        <f t="shared" si="1"/>
        <v>Alternates (2026/27)</v>
      </c>
    </row>
    <row r="41" spans="1:10" x14ac:dyDescent="0.35">
      <c r="A41" s="1" t="s">
        <v>95</v>
      </c>
      <c r="B41" s="1" t="s">
        <v>96</v>
      </c>
      <c r="C41" s="1" t="s">
        <v>10</v>
      </c>
      <c r="D41" s="1" t="s">
        <v>15</v>
      </c>
      <c r="E41" s="1" t="s">
        <v>84</v>
      </c>
      <c r="F41" s="1" t="s">
        <v>80</v>
      </c>
      <c r="G41" s="1" t="s">
        <v>97</v>
      </c>
      <c r="H41" s="1" t="s">
        <v>98</v>
      </c>
      <c r="I41" s="1" t="s">
        <v>301</v>
      </c>
      <c r="J41" s="1" t="str">
        <f t="shared" si="1"/>
        <v>Alternates (2026/27)</v>
      </c>
    </row>
    <row r="42" spans="1:10" x14ac:dyDescent="0.35">
      <c r="A42" s="1" t="s">
        <v>99</v>
      </c>
      <c r="B42" s="1" t="s">
        <v>100</v>
      </c>
      <c r="C42" s="1" t="s">
        <v>70</v>
      </c>
      <c r="D42" s="1" t="s">
        <v>15</v>
      </c>
      <c r="E42" s="1" t="s">
        <v>21</v>
      </c>
      <c r="F42" s="1" t="s">
        <v>80</v>
      </c>
      <c r="G42" s="1" t="s">
        <v>101</v>
      </c>
      <c r="I42" s="1" t="s">
        <v>301</v>
      </c>
      <c r="J42" s="1" t="str">
        <f t="shared" si="1"/>
        <v>Alternates (2027/28)</v>
      </c>
    </row>
    <row r="43" spans="1:10" x14ac:dyDescent="0.35">
      <c r="A43" s="1" t="s">
        <v>102</v>
      </c>
      <c r="B43" s="1" t="s">
        <v>103</v>
      </c>
      <c r="C43" s="1" t="s">
        <v>10</v>
      </c>
      <c r="D43" s="1" t="s">
        <v>11</v>
      </c>
      <c r="E43" s="1" t="s">
        <v>84</v>
      </c>
      <c r="F43" s="1" t="s">
        <v>80</v>
      </c>
      <c r="G43" s="1" t="s">
        <v>23</v>
      </c>
      <c r="I43" s="1" t="s">
        <v>301</v>
      </c>
      <c r="J43" s="1" t="str">
        <f t="shared" si="1"/>
        <v>Alternates (2026/27)</v>
      </c>
    </row>
    <row r="44" spans="1:10" x14ac:dyDescent="0.35">
      <c r="A44" s="1" t="s">
        <v>104</v>
      </c>
      <c r="B44" s="1" t="s">
        <v>105</v>
      </c>
      <c r="C44" s="1" t="s">
        <v>10</v>
      </c>
      <c r="D44" s="1" t="s">
        <v>15</v>
      </c>
      <c r="E44" s="1" t="s">
        <v>21</v>
      </c>
      <c r="F44" s="1" t="s">
        <v>80</v>
      </c>
      <c r="G44" s="1" t="s">
        <v>106</v>
      </c>
      <c r="I44" s="1" t="s">
        <v>301</v>
      </c>
      <c r="J44" s="1" t="str">
        <f t="shared" si="1"/>
        <v>Alternates (2026/27)</v>
      </c>
    </row>
    <row r="45" spans="1:10" x14ac:dyDescent="0.35">
      <c r="A45" s="1" t="s">
        <v>107</v>
      </c>
      <c r="B45" s="1" t="s">
        <v>108</v>
      </c>
      <c r="C45" s="1" t="s">
        <v>70</v>
      </c>
      <c r="D45" s="1" t="s">
        <v>11</v>
      </c>
      <c r="E45" s="1" t="s">
        <v>84</v>
      </c>
      <c r="F45" s="1" t="s">
        <v>80</v>
      </c>
      <c r="G45" s="1" t="s">
        <v>109</v>
      </c>
      <c r="I45" s="1" t="s">
        <v>301</v>
      </c>
      <c r="J45" s="1" t="str">
        <f t="shared" si="1"/>
        <v>Alternates (2027/28)</v>
      </c>
    </row>
    <row r="46" spans="1:10" x14ac:dyDescent="0.35">
      <c r="A46" s="1" t="s">
        <v>110</v>
      </c>
      <c r="B46" s="1" t="s">
        <v>111</v>
      </c>
      <c r="C46" s="1" t="s">
        <v>70</v>
      </c>
      <c r="D46" s="1" t="s">
        <v>15</v>
      </c>
      <c r="E46" s="1" t="s">
        <v>84</v>
      </c>
      <c r="F46" s="1" t="s">
        <v>80</v>
      </c>
      <c r="G46" s="1" t="s">
        <v>112</v>
      </c>
      <c r="I46" s="1" t="s">
        <v>301</v>
      </c>
      <c r="J46" s="1" t="str">
        <f t="shared" si="1"/>
        <v>Alternates (2027/28)</v>
      </c>
    </row>
    <row r="47" spans="1:10" x14ac:dyDescent="0.35">
      <c r="A47" s="1" t="s">
        <v>113</v>
      </c>
      <c r="B47" s="1" t="s">
        <v>114</v>
      </c>
      <c r="C47" s="1" t="s">
        <v>70</v>
      </c>
      <c r="D47" s="1" t="s">
        <v>15</v>
      </c>
      <c r="E47" s="1" t="s">
        <v>71</v>
      </c>
      <c r="F47" s="1" t="s">
        <v>80</v>
      </c>
      <c r="G47" s="1" t="s">
        <v>42</v>
      </c>
      <c r="I47" s="1" t="s">
        <v>301</v>
      </c>
      <c r="J47" s="1" t="str">
        <f t="shared" si="1"/>
        <v>Alternates (2027/28)</v>
      </c>
    </row>
    <row r="48" spans="1:10" x14ac:dyDescent="0.35">
      <c r="A48" s="1" t="s">
        <v>115</v>
      </c>
      <c r="B48" s="1" t="s">
        <v>116</v>
      </c>
      <c r="C48" s="1" t="s">
        <v>10</v>
      </c>
      <c r="D48" s="1" t="s">
        <v>15</v>
      </c>
      <c r="E48" s="1" t="s">
        <v>84</v>
      </c>
      <c r="F48" s="1" t="s">
        <v>80</v>
      </c>
      <c r="G48" s="1" t="s">
        <v>34</v>
      </c>
      <c r="I48" s="1" t="s">
        <v>296</v>
      </c>
      <c r="J48" s="1" t="str">
        <f t="shared" si="1"/>
        <v>Alternates (2026/27)</v>
      </c>
    </row>
    <row r="49" spans="1:10" x14ac:dyDescent="0.35">
      <c r="A49" s="1" t="s">
        <v>117</v>
      </c>
      <c r="B49" s="1" t="s">
        <v>118</v>
      </c>
      <c r="C49" s="1" t="s">
        <v>70</v>
      </c>
      <c r="D49" s="1" t="s">
        <v>11</v>
      </c>
      <c r="E49" s="1" t="s">
        <v>16</v>
      </c>
      <c r="F49" s="1" t="s">
        <v>80</v>
      </c>
      <c r="G49" s="1" t="s">
        <v>23</v>
      </c>
      <c r="I49" s="1" t="s">
        <v>296</v>
      </c>
      <c r="J49" s="1" t="str">
        <f t="shared" si="1"/>
        <v>Alternates (2027/28)</v>
      </c>
    </row>
    <row r="50" spans="1:10" x14ac:dyDescent="0.35">
      <c r="A50" s="1" t="s">
        <v>119</v>
      </c>
      <c r="B50" s="1" t="s">
        <v>120</v>
      </c>
      <c r="C50" s="1" t="s">
        <v>286</v>
      </c>
      <c r="D50" s="1" t="s">
        <v>11</v>
      </c>
      <c r="E50" s="1" t="s">
        <v>31</v>
      </c>
      <c r="F50" s="1" t="s">
        <v>80</v>
      </c>
      <c r="G50" s="1" t="s">
        <v>34</v>
      </c>
      <c r="I50" s="1" t="s">
        <v>296</v>
      </c>
      <c r="J50" s="1" t="str">
        <f t="shared" si="1"/>
        <v>Temp withdrawal</v>
      </c>
    </row>
    <row r="51" spans="1:10" x14ac:dyDescent="0.35">
      <c r="A51" s="1" t="s">
        <v>122</v>
      </c>
      <c r="B51" s="1" t="s">
        <v>123</v>
      </c>
      <c r="C51" s="1" t="s">
        <v>128</v>
      </c>
      <c r="D51" s="1" t="s">
        <v>15</v>
      </c>
      <c r="E51" s="1" t="s">
        <v>71</v>
      </c>
      <c r="F51" s="1" t="s">
        <v>80</v>
      </c>
      <c r="G51" s="1" t="s">
        <v>124</v>
      </c>
      <c r="H51" s="1" t="s">
        <v>125</v>
      </c>
      <c r="I51" s="1" t="s">
        <v>296</v>
      </c>
      <c r="J51" s="1" t="str">
        <f t="shared" si="1"/>
        <v>Alternates (2026/27)</v>
      </c>
    </row>
    <row r="52" spans="1:10" x14ac:dyDescent="0.35">
      <c r="A52" s="1" t="s">
        <v>126</v>
      </c>
      <c r="B52" s="1" t="s">
        <v>127</v>
      </c>
      <c r="C52" s="1" t="s">
        <v>286</v>
      </c>
      <c r="D52" s="1" t="s">
        <v>15</v>
      </c>
      <c r="E52" s="1" t="s">
        <v>71</v>
      </c>
      <c r="F52" s="1" t="s">
        <v>13</v>
      </c>
      <c r="G52" s="1" t="s">
        <v>124</v>
      </c>
      <c r="I52" s="1" t="s">
        <v>296</v>
      </c>
      <c r="J52" s="1" t="str">
        <f t="shared" si="1"/>
        <v>Temp withdrawal</v>
      </c>
    </row>
    <row r="53" spans="1:10" x14ac:dyDescent="0.35">
      <c r="A53" s="1" t="s">
        <v>129</v>
      </c>
      <c r="B53" s="1" t="s">
        <v>130</v>
      </c>
      <c r="C53" s="1" t="s">
        <v>286</v>
      </c>
      <c r="D53" s="1" t="s">
        <v>15</v>
      </c>
      <c r="E53" s="1" t="s">
        <v>131</v>
      </c>
      <c r="F53" s="1" t="s">
        <v>13</v>
      </c>
      <c r="G53" s="1" t="s">
        <v>132</v>
      </c>
      <c r="I53" s="1" t="s">
        <v>296</v>
      </c>
      <c r="J53" s="1" t="str">
        <f t="shared" si="1"/>
        <v>Temp withdrawal</v>
      </c>
    </row>
    <row r="54" spans="1:10" x14ac:dyDescent="0.35">
      <c r="A54" s="1" t="s">
        <v>133</v>
      </c>
      <c r="B54" s="1" t="s">
        <v>134</v>
      </c>
      <c r="C54" s="1" t="s">
        <v>70</v>
      </c>
      <c r="D54" s="1" t="s">
        <v>15</v>
      </c>
      <c r="E54" s="1" t="s">
        <v>71</v>
      </c>
      <c r="F54" s="1" t="s">
        <v>80</v>
      </c>
      <c r="G54" s="1" t="s">
        <v>280</v>
      </c>
      <c r="I54" s="1" t="s">
        <v>302</v>
      </c>
      <c r="J54" s="1" t="str">
        <f t="shared" si="1"/>
        <v>Alternates (2027/28)</v>
      </c>
    </row>
    <row r="55" spans="1:10" x14ac:dyDescent="0.35">
      <c r="A55" s="1" t="s">
        <v>135</v>
      </c>
      <c r="B55" s="1" t="s">
        <v>136</v>
      </c>
      <c r="C55" s="1" t="s">
        <v>10</v>
      </c>
      <c r="D55" s="1" t="s">
        <v>11</v>
      </c>
      <c r="E55" s="1" t="s">
        <v>21</v>
      </c>
      <c r="F55" s="1" t="s">
        <v>13</v>
      </c>
      <c r="G55" s="1" t="s">
        <v>284</v>
      </c>
      <c r="I55" s="1" t="s">
        <v>302</v>
      </c>
      <c r="J55" s="1" t="str">
        <f t="shared" si="1"/>
        <v>Runs every year</v>
      </c>
    </row>
    <row r="56" spans="1:10" x14ac:dyDescent="0.35">
      <c r="A56" s="1" t="s">
        <v>137</v>
      </c>
      <c r="B56" s="1" t="s">
        <v>138</v>
      </c>
      <c r="C56" s="1" t="s">
        <v>10</v>
      </c>
      <c r="D56" s="1" t="s">
        <v>15</v>
      </c>
      <c r="E56" s="1" t="s">
        <v>71</v>
      </c>
      <c r="F56" s="1" t="s">
        <v>80</v>
      </c>
      <c r="G56" s="1" t="s">
        <v>139</v>
      </c>
      <c r="H56" s="1" t="s">
        <v>140</v>
      </c>
      <c r="I56" s="1" t="s">
        <v>302</v>
      </c>
      <c r="J56" s="1" t="str">
        <f t="shared" si="1"/>
        <v>Alternates (2026/27)</v>
      </c>
    </row>
    <row r="57" spans="1:10" x14ac:dyDescent="0.35">
      <c r="A57" s="1" t="s">
        <v>141</v>
      </c>
      <c r="B57" s="1" t="s">
        <v>142</v>
      </c>
      <c r="C57" s="1" t="s">
        <v>70</v>
      </c>
      <c r="D57" s="1" t="s">
        <v>11</v>
      </c>
      <c r="E57" s="1" t="s">
        <v>31</v>
      </c>
      <c r="F57" s="1" t="s">
        <v>80</v>
      </c>
      <c r="G57" s="1" t="s">
        <v>143</v>
      </c>
      <c r="I57" s="1" t="s">
        <v>302</v>
      </c>
      <c r="J57" s="1" t="str">
        <f t="shared" si="1"/>
        <v>Alternates (2027/28)</v>
      </c>
    </row>
    <row r="58" spans="1:10" x14ac:dyDescent="0.35">
      <c r="A58" s="1" t="s">
        <v>277</v>
      </c>
      <c r="B58" s="1" t="s">
        <v>278</v>
      </c>
      <c r="C58" s="1" t="s">
        <v>323</v>
      </c>
      <c r="D58" s="1" t="s">
        <v>11</v>
      </c>
      <c r="E58" s="1" t="s">
        <v>31</v>
      </c>
      <c r="F58" s="1" t="s">
        <v>80</v>
      </c>
      <c r="G58" s="1" t="s">
        <v>283</v>
      </c>
      <c r="I58" s="1" t="s">
        <v>304</v>
      </c>
      <c r="J58" s="1" t="str">
        <f t="shared" si="1"/>
        <v>Alternates (2026/27)</v>
      </c>
    </row>
    <row r="59" spans="1:10" x14ac:dyDescent="0.35">
      <c r="A59" s="1" t="s">
        <v>292</v>
      </c>
      <c r="B59" s="1" t="s">
        <v>293</v>
      </c>
      <c r="C59" s="1" t="s">
        <v>121</v>
      </c>
      <c r="D59" s="1" t="s">
        <v>15</v>
      </c>
      <c r="E59" s="1" t="s">
        <v>22</v>
      </c>
      <c r="F59" s="1" t="s">
        <v>80</v>
      </c>
      <c r="G59" s="1" t="s">
        <v>285</v>
      </c>
      <c r="I59" s="1" t="s">
        <v>296</v>
      </c>
      <c r="J59" s="1" t="str">
        <f t="shared" si="1"/>
        <v>Alternates (2027/28)</v>
      </c>
    </row>
    <row r="60" spans="1:10" x14ac:dyDescent="0.35">
      <c r="A60" s="1" t="s">
        <v>291</v>
      </c>
      <c r="B60" s="1" t="s">
        <v>290</v>
      </c>
      <c r="C60" s="1" t="s">
        <v>121</v>
      </c>
      <c r="D60" s="1" t="s">
        <v>11</v>
      </c>
      <c r="E60" s="1" t="s">
        <v>84</v>
      </c>
      <c r="F60" s="1" t="s">
        <v>13</v>
      </c>
      <c r="G60" s="1" t="s">
        <v>124</v>
      </c>
      <c r="I60" s="1" t="s">
        <v>296</v>
      </c>
      <c r="J60" s="1" t="str">
        <f t="shared" si="1"/>
        <v>Runs every year</v>
      </c>
    </row>
    <row r="61" spans="1:10" x14ac:dyDescent="0.35">
      <c r="A61" s="1" t="s">
        <v>144</v>
      </c>
      <c r="B61" s="1" t="s">
        <v>145</v>
      </c>
      <c r="C61" s="1" t="s">
        <v>10</v>
      </c>
      <c r="D61" s="1" t="s">
        <v>146</v>
      </c>
      <c r="F61" s="1" t="s">
        <v>13</v>
      </c>
      <c r="G61" s="1" t="s">
        <v>147</v>
      </c>
      <c r="I61" s="1" t="s">
        <v>314</v>
      </c>
      <c r="J61" s="1" t="str">
        <f t="shared" si="1"/>
        <v>Runs every year</v>
      </c>
    </row>
    <row r="62" spans="1:10" x14ac:dyDescent="0.35">
      <c r="A62" s="1" t="s">
        <v>148</v>
      </c>
      <c r="B62" s="1" t="s">
        <v>149</v>
      </c>
      <c r="C62" s="1" t="s">
        <v>10</v>
      </c>
      <c r="D62" s="1" t="s">
        <v>146</v>
      </c>
      <c r="F62" s="1" t="s">
        <v>13</v>
      </c>
      <c r="I62" s="1" t="s">
        <v>314</v>
      </c>
      <c r="J62" s="1" t="str">
        <f t="shared" si="1"/>
        <v>Runs every year</v>
      </c>
    </row>
    <row r="63" spans="1:10" x14ac:dyDescent="0.35">
      <c r="A63" s="1" t="s">
        <v>150</v>
      </c>
      <c r="B63" s="1" t="s">
        <v>151</v>
      </c>
      <c r="C63" s="1" t="s">
        <v>70</v>
      </c>
      <c r="D63" s="1" t="s">
        <v>15</v>
      </c>
      <c r="E63" s="1" t="s">
        <v>71</v>
      </c>
      <c r="F63" s="1" t="s">
        <v>80</v>
      </c>
      <c r="G63" s="1" t="s">
        <v>55</v>
      </c>
      <c r="H63" s="1" t="s">
        <v>152</v>
      </c>
      <c r="I63" s="1" t="s">
        <v>296</v>
      </c>
      <c r="J63" s="1" t="str">
        <f t="shared" si="1"/>
        <v>Alternates (2027/28)</v>
      </c>
    </row>
    <row r="64" spans="1:10" x14ac:dyDescent="0.35">
      <c r="A64" s="1" t="s">
        <v>153</v>
      </c>
      <c r="B64" s="1" t="s">
        <v>154</v>
      </c>
      <c r="C64" s="1" t="s">
        <v>10</v>
      </c>
      <c r="D64" s="1" t="s">
        <v>11</v>
      </c>
      <c r="E64" s="1" t="s">
        <v>16</v>
      </c>
      <c r="F64" s="1" t="s">
        <v>80</v>
      </c>
      <c r="G64" s="1" t="s">
        <v>34</v>
      </c>
      <c r="I64" s="1" t="s">
        <v>296</v>
      </c>
      <c r="J64" s="1" t="str">
        <f t="shared" si="1"/>
        <v>Alternates (2026/27)</v>
      </c>
    </row>
    <row r="65" spans="1:10" x14ac:dyDescent="0.35">
      <c r="A65" s="1" t="s">
        <v>155</v>
      </c>
      <c r="B65" s="1" t="s">
        <v>156</v>
      </c>
      <c r="C65" s="1" t="s">
        <v>286</v>
      </c>
      <c r="D65" s="1" t="s">
        <v>15</v>
      </c>
      <c r="E65" s="1" t="s">
        <v>22</v>
      </c>
      <c r="F65" s="1" t="s">
        <v>13</v>
      </c>
      <c r="G65" s="1" t="s">
        <v>157</v>
      </c>
      <c r="I65" s="1" t="s">
        <v>296</v>
      </c>
      <c r="J65" s="1" t="str">
        <f t="shared" si="1"/>
        <v>Temp withdrawal</v>
      </c>
    </row>
    <row r="66" spans="1:10" x14ac:dyDescent="0.35">
      <c r="A66" s="1" t="s">
        <v>158</v>
      </c>
      <c r="B66" s="1" t="s">
        <v>159</v>
      </c>
      <c r="C66" s="1" t="s">
        <v>10</v>
      </c>
      <c r="D66" s="1" t="s">
        <v>146</v>
      </c>
      <c r="F66" s="1" t="s">
        <v>13</v>
      </c>
      <c r="G66" s="1" t="s">
        <v>147</v>
      </c>
      <c r="I66" s="1" t="s">
        <v>314</v>
      </c>
      <c r="J66" s="1" t="str">
        <f t="shared" ref="J66:J96" si="2">IF(VALUE(LEFT(C66,4))&gt;2050,"Temp withdrawal",IF(F66="No","Runs every year",IF(ISEVEN(VALUE(LEFT(C66,4))),"Alternates (2026/27)","Alternates (2027/28)")))</f>
        <v>Runs every year</v>
      </c>
    </row>
    <row r="67" spans="1:10" x14ac:dyDescent="0.35">
      <c r="A67" s="1" t="s">
        <v>160</v>
      </c>
      <c r="B67" s="1" t="s">
        <v>161</v>
      </c>
      <c r="C67" s="1" t="s">
        <v>10</v>
      </c>
      <c r="D67" s="1" t="s">
        <v>146</v>
      </c>
      <c r="F67" s="1" t="s">
        <v>13</v>
      </c>
      <c r="G67" s="1" t="s">
        <v>147</v>
      </c>
      <c r="I67" s="1" t="s">
        <v>314</v>
      </c>
      <c r="J67" s="1" t="str">
        <f t="shared" si="2"/>
        <v>Runs every year</v>
      </c>
    </row>
    <row r="68" spans="1:10" x14ac:dyDescent="0.35">
      <c r="A68" s="1" t="s">
        <v>162</v>
      </c>
      <c r="B68" s="1" t="s">
        <v>163</v>
      </c>
      <c r="C68" s="1" t="s">
        <v>10</v>
      </c>
      <c r="D68" s="1" t="s">
        <v>146</v>
      </c>
      <c r="F68" s="1" t="s">
        <v>13</v>
      </c>
      <c r="I68" s="1" t="s">
        <v>314</v>
      </c>
      <c r="J68" s="1" t="str">
        <f t="shared" si="2"/>
        <v>Runs every year</v>
      </c>
    </row>
    <row r="69" spans="1:10" x14ac:dyDescent="0.35">
      <c r="A69" s="1" t="s">
        <v>164</v>
      </c>
      <c r="B69" s="1" t="s">
        <v>165</v>
      </c>
      <c r="C69" s="1" t="s">
        <v>10</v>
      </c>
      <c r="D69" s="1" t="s">
        <v>146</v>
      </c>
      <c r="F69" s="1" t="s">
        <v>13</v>
      </c>
      <c r="I69" s="1" t="s">
        <v>314</v>
      </c>
      <c r="J69" s="1" t="str">
        <f t="shared" si="2"/>
        <v>Runs every year</v>
      </c>
    </row>
    <row r="70" spans="1:10" x14ac:dyDescent="0.35">
      <c r="A70" s="1" t="s">
        <v>166</v>
      </c>
      <c r="B70" s="1" t="s">
        <v>167</v>
      </c>
      <c r="C70" s="1" t="s">
        <v>10</v>
      </c>
      <c r="D70" s="1" t="s">
        <v>146</v>
      </c>
      <c r="F70" s="1" t="s">
        <v>13</v>
      </c>
      <c r="H70" s="1" t="s">
        <v>168</v>
      </c>
      <c r="I70" s="1" t="s">
        <v>314</v>
      </c>
      <c r="J70" s="1" t="str">
        <f t="shared" si="2"/>
        <v>Runs every year</v>
      </c>
    </row>
    <row r="71" spans="1:10" x14ac:dyDescent="0.35">
      <c r="A71" s="1" t="s">
        <v>168</v>
      </c>
      <c r="B71" s="1" t="s">
        <v>169</v>
      </c>
      <c r="C71" s="1" t="s">
        <v>10</v>
      </c>
      <c r="D71" s="1" t="s">
        <v>146</v>
      </c>
      <c r="F71" s="1" t="s">
        <v>13</v>
      </c>
      <c r="I71" s="1" t="s">
        <v>314</v>
      </c>
      <c r="J71" s="1" t="str">
        <f t="shared" si="2"/>
        <v>Runs every year</v>
      </c>
    </row>
    <row r="72" spans="1:10" x14ac:dyDescent="0.35">
      <c r="A72" s="1" t="s">
        <v>170</v>
      </c>
      <c r="B72" s="1" t="s">
        <v>171</v>
      </c>
      <c r="C72" s="1" t="s">
        <v>10</v>
      </c>
      <c r="D72" s="1" t="s">
        <v>15</v>
      </c>
      <c r="F72" s="1" t="s">
        <v>13</v>
      </c>
      <c r="G72" s="1" t="s">
        <v>147</v>
      </c>
      <c r="H72" s="1" t="s">
        <v>266</v>
      </c>
      <c r="I72" s="1" t="s">
        <v>314</v>
      </c>
      <c r="J72" s="1" t="str">
        <f t="shared" si="2"/>
        <v>Runs every year</v>
      </c>
    </row>
    <row r="73" spans="1:10" x14ac:dyDescent="0.35">
      <c r="A73" s="1" t="s">
        <v>172</v>
      </c>
      <c r="B73" s="1" t="s">
        <v>173</v>
      </c>
      <c r="C73" s="1" t="s">
        <v>10</v>
      </c>
      <c r="D73" s="1" t="s">
        <v>146</v>
      </c>
      <c r="F73" s="1" t="s">
        <v>13</v>
      </c>
      <c r="I73" s="1" t="s">
        <v>314</v>
      </c>
      <c r="J73" s="1" t="str">
        <f t="shared" si="2"/>
        <v>Runs every year</v>
      </c>
    </row>
    <row r="74" spans="1:10" x14ac:dyDescent="0.35">
      <c r="A74" s="1" t="s">
        <v>174</v>
      </c>
      <c r="B74" s="1" t="s">
        <v>175</v>
      </c>
      <c r="C74" s="1" t="s">
        <v>128</v>
      </c>
      <c r="D74" s="1" t="s">
        <v>15</v>
      </c>
      <c r="E74" s="1" t="s">
        <v>71</v>
      </c>
      <c r="F74" s="1" t="s">
        <v>80</v>
      </c>
      <c r="G74" s="1" t="s">
        <v>124</v>
      </c>
      <c r="H74" s="1" t="s">
        <v>176</v>
      </c>
      <c r="I74" s="1" t="s">
        <v>296</v>
      </c>
      <c r="J74" s="1" t="str">
        <f t="shared" si="2"/>
        <v>Alternates (2026/27)</v>
      </c>
    </row>
    <row r="75" spans="1:10" x14ac:dyDescent="0.35">
      <c r="A75" s="1" t="s">
        <v>177</v>
      </c>
      <c r="B75" s="1" t="s">
        <v>178</v>
      </c>
      <c r="C75" s="1" t="s">
        <v>10</v>
      </c>
      <c r="D75" s="1" t="s">
        <v>15</v>
      </c>
      <c r="E75" s="1" t="s">
        <v>12</v>
      </c>
      <c r="F75" s="1" t="s">
        <v>13</v>
      </c>
      <c r="G75" s="1" t="s">
        <v>179</v>
      </c>
      <c r="I75" s="1" t="s">
        <v>296</v>
      </c>
      <c r="J75" s="1" t="str">
        <f t="shared" si="2"/>
        <v>Runs every year</v>
      </c>
    </row>
    <row r="76" spans="1:10" x14ac:dyDescent="0.35">
      <c r="A76" s="1" t="s">
        <v>180</v>
      </c>
      <c r="B76" s="1" t="s">
        <v>181</v>
      </c>
      <c r="C76" s="1" t="s">
        <v>10</v>
      </c>
      <c r="D76" s="1" t="s">
        <v>15</v>
      </c>
      <c r="E76" s="1" t="s">
        <v>16</v>
      </c>
      <c r="F76" s="1" t="s">
        <v>13</v>
      </c>
      <c r="G76" s="1" t="s">
        <v>124</v>
      </c>
      <c r="H76" s="1" t="s">
        <v>182</v>
      </c>
      <c r="I76" s="1" t="s">
        <v>296</v>
      </c>
      <c r="J76" s="1" t="str">
        <f t="shared" si="2"/>
        <v>Runs every year</v>
      </c>
    </row>
    <row r="77" spans="1:10" x14ac:dyDescent="0.35">
      <c r="A77" s="1" t="s">
        <v>183</v>
      </c>
      <c r="B77" s="1" t="s">
        <v>184</v>
      </c>
      <c r="C77" s="1" t="s">
        <v>10</v>
      </c>
      <c r="D77" s="1" t="s">
        <v>11</v>
      </c>
      <c r="E77" s="1" t="s">
        <v>185</v>
      </c>
      <c r="F77" s="1" t="s">
        <v>13</v>
      </c>
      <c r="G77" s="1" t="s">
        <v>186</v>
      </c>
      <c r="H77" s="1" t="s">
        <v>187</v>
      </c>
      <c r="I77" s="1" t="s">
        <v>296</v>
      </c>
      <c r="J77" s="1" t="str">
        <f t="shared" si="2"/>
        <v>Runs every year</v>
      </c>
    </row>
    <row r="78" spans="1:10" x14ac:dyDescent="0.35">
      <c r="A78" s="1" t="s">
        <v>188</v>
      </c>
      <c r="B78" s="1" t="s">
        <v>189</v>
      </c>
      <c r="C78" s="1" t="s">
        <v>10</v>
      </c>
      <c r="D78" s="1" t="s">
        <v>11</v>
      </c>
      <c r="E78" s="1" t="s">
        <v>190</v>
      </c>
      <c r="F78" s="1" t="s">
        <v>13</v>
      </c>
      <c r="G78" s="1" t="s">
        <v>191</v>
      </c>
      <c r="H78" s="1" t="s">
        <v>192</v>
      </c>
      <c r="I78" s="1" t="s">
        <v>296</v>
      </c>
      <c r="J78" s="1" t="str">
        <f t="shared" si="2"/>
        <v>Runs every year</v>
      </c>
    </row>
    <row r="79" spans="1:10" x14ac:dyDescent="0.35">
      <c r="A79" s="1" t="s">
        <v>193</v>
      </c>
      <c r="B79" s="1" t="s">
        <v>194</v>
      </c>
      <c r="C79" s="1" t="s">
        <v>10</v>
      </c>
      <c r="D79" s="1" t="s">
        <v>11</v>
      </c>
      <c r="E79" s="1" t="s">
        <v>21</v>
      </c>
      <c r="F79" s="1" t="s">
        <v>13</v>
      </c>
      <c r="G79" s="1" t="s">
        <v>191</v>
      </c>
      <c r="H79" s="1" t="s">
        <v>74</v>
      </c>
      <c r="I79" s="1" t="s">
        <v>296</v>
      </c>
      <c r="J79" s="1" t="str">
        <f t="shared" si="2"/>
        <v>Runs every year</v>
      </c>
    </row>
    <row r="80" spans="1:10" x14ac:dyDescent="0.35">
      <c r="A80" s="1" t="s">
        <v>195</v>
      </c>
      <c r="B80" s="1" t="s">
        <v>196</v>
      </c>
      <c r="C80" s="1" t="s">
        <v>10</v>
      </c>
      <c r="D80" s="1" t="s">
        <v>15</v>
      </c>
      <c r="E80" s="1" t="s">
        <v>21</v>
      </c>
      <c r="F80" s="1" t="s">
        <v>13</v>
      </c>
      <c r="G80" s="1" t="s">
        <v>197</v>
      </c>
      <c r="H80" s="1" t="s">
        <v>198</v>
      </c>
      <c r="I80" s="1" t="s">
        <v>296</v>
      </c>
      <c r="J80" s="1" t="str">
        <f t="shared" si="2"/>
        <v>Runs every year</v>
      </c>
    </row>
    <row r="81" spans="1:10" x14ac:dyDescent="0.35">
      <c r="A81" s="1" t="s">
        <v>199</v>
      </c>
      <c r="B81" s="1" t="s">
        <v>200</v>
      </c>
      <c r="C81" s="1" t="s">
        <v>70</v>
      </c>
      <c r="D81" s="1" t="s">
        <v>15</v>
      </c>
      <c r="E81" s="1" t="s">
        <v>84</v>
      </c>
      <c r="F81" s="1" t="s">
        <v>80</v>
      </c>
      <c r="G81" s="1" t="s">
        <v>124</v>
      </c>
      <c r="I81" s="1" t="s">
        <v>296</v>
      </c>
      <c r="J81" s="1" t="str">
        <f t="shared" si="2"/>
        <v>Alternates (2027/28)</v>
      </c>
    </row>
    <row r="82" spans="1:10" x14ac:dyDescent="0.35">
      <c r="A82" s="1" t="s">
        <v>201</v>
      </c>
      <c r="B82" s="1" t="s">
        <v>202</v>
      </c>
      <c r="C82" s="1" t="s">
        <v>128</v>
      </c>
      <c r="D82" s="1" t="s">
        <v>146</v>
      </c>
      <c r="E82" s="1" t="s">
        <v>203</v>
      </c>
      <c r="F82" s="1" t="s">
        <v>13</v>
      </c>
      <c r="G82" s="1" t="s">
        <v>281</v>
      </c>
      <c r="I82" s="1" t="s">
        <v>296</v>
      </c>
      <c r="J82" s="1" t="str">
        <f t="shared" si="2"/>
        <v>Runs every year</v>
      </c>
    </row>
    <row r="83" spans="1:10" x14ac:dyDescent="0.35">
      <c r="A83" s="1" t="s">
        <v>204</v>
      </c>
      <c r="B83" s="1" t="s">
        <v>205</v>
      </c>
      <c r="C83" s="1" t="s">
        <v>10</v>
      </c>
      <c r="D83" s="1" t="s">
        <v>11</v>
      </c>
      <c r="E83" s="1" t="s">
        <v>71</v>
      </c>
      <c r="F83" s="1" t="s">
        <v>13</v>
      </c>
      <c r="G83" s="1" t="s">
        <v>124</v>
      </c>
      <c r="I83" s="1" t="s">
        <v>296</v>
      </c>
      <c r="J83" s="1" t="str">
        <f t="shared" si="2"/>
        <v>Runs every year</v>
      </c>
    </row>
    <row r="84" spans="1:10" x14ac:dyDescent="0.35">
      <c r="A84" s="1" t="s">
        <v>206</v>
      </c>
      <c r="B84" s="1" t="s">
        <v>207</v>
      </c>
      <c r="C84" s="1" t="s">
        <v>10</v>
      </c>
      <c r="D84" s="1" t="s">
        <v>15</v>
      </c>
      <c r="E84" s="1" t="s">
        <v>12</v>
      </c>
      <c r="F84" s="1" t="s">
        <v>13</v>
      </c>
      <c r="G84" s="1" t="s">
        <v>44</v>
      </c>
      <c r="H84" s="1" t="s">
        <v>208</v>
      </c>
      <c r="I84" s="1" t="s">
        <v>302</v>
      </c>
      <c r="J84" s="1" t="str">
        <f t="shared" si="2"/>
        <v>Runs every year</v>
      </c>
    </row>
    <row r="85" spans="1:10" x14ac:dyDescent="0.35">
      <c r="A85" s="1" t="s">
        <v>209</v>
      </c>
      <c r="B85" s="1" t="s">
        <v>210</v>
      </c>
      <c r="C85" s="1" t="s">
        <v>10</v>
      </c>
      <c r="D85" s="1" t="s">
        <v>15</v>
      </c>
      <c r="E85" s="1" t="s">
        <v>21</v>
      </c>
      <c r="F85" s="1" t="s">
        <v>13</v>
      </c>
      <c r="G85" s="1" t="s">
        <v>68</v>
      </c>
      <c r="I85" s="1" t="s">
        <v>302</v>
      </c>
      <c r="J85" s="1" t="str">
        <f t="shared" si="2"/>
        <v>Runs every year</v>
      </c>
    </row>
    <row r="86" spans="1:10" x14ac:dyDescent="0.35">
      <c r="A86" s="1" t="s">
        <v>211</v>
      </c>
      <c r="B86" s="1" t="s">
        <v>212</v>
      </c>
      <c r="C86" s="1" t="s">
        <v>10</v>
      </c>
      <c r="D86" s="1" t="s">
        <v>11</v>
      </c>
      <c r="E86" s="1" t="s">
        <v>28</v>
      </c>
      <c r="F86" s="1" t="s">
        <v>13</v>
      </c>
      <c r="G86" s="1" t="s">
        <v>89</v>
      </c>
      <c r="H86" s="1" t="s">
        <v>213</v>
      </c>
      <c r="I86" s="1" t="s">
        <v>302</v>
      </c>
      <c r="J86" s="1" t="str">
        <f t="shared" si="2"/>
        <v>Runs every year</v>
      </c>
    </row>
    <row r="87" spans="1:10" x14ac:dyDescent="0.35">
      <c r="A87" s="1" t="s">
        <v>214</v>
      </c>
      <c r="B87" s="1" t="s">
        <v>215</v>
      </c>
      <c r="C87" s="1" t="s">
        <v>10</v>
      </c>
      <c r="D87" s="1" t="s">
        <v>11</v>
      </c>
      <c r="E87" s="1" t="s">
        <v>21</v>
      </c>
      <c r="F87" s="1" t="s">
        <v>13</v>
      </c>
      <c r="G87" s="1" t="s">
        <v>91</v>
      </c>
      <c r="H87" s="1" t="s">
        <v>216</v>
      </c>
      <c r="I87" s="1" t="s">
        <v>302</v>
      </c>
      <c r="J87" s="1" t="str">
        <f t="shared" si="2"/>
        <v>Runs every year</v>
      </c>
    </row>
    <row r="88" spans="1:10" x14ac:dyDescent="0.35">
      <c r="A88" s="1" t="s">
        <v>217</v>
      </c>
      <c r="B88" s="1" t="s">
        <v>218</v>
      </c>
      <c r="C88" s="1" t="s">
        <v>10</v>
      </c>
      <c r="D88" s="1" t="s">
        <v>11</v>
      </c>
      <c r="E88" s="1" t="s">
        <v>22</v>
      </c>
      <c r="F88" s="1" t="s">
        <v>13</v>
      </c>
      <c r="G88" s="1" t="s">
        <v>47</v>
      </c>
      <c r="H88" s="1" t="s">
        <v>219</v>
      </c>
      <c r="I88" s="1" t="s">
        <v>302</v>
      </c>
      <c r="J88" s="1" t="str">
        <f t="shared" si="2"/>
        <v>Runs every year</v>
      </c>
    </row>
    <row r="89" spans="1:10" x14ac:dyDescent="0.35">
      <c r="A89" s="1" t="s">
        <v>220</v>
      </c>
      <c r="B89" s="1" t="s">
        <v>221</v>
      </c>
      <c r="C89" s="1" t="s">
        <v>10</v>
      </c>
      <c r="D89" s="1" t="s">
        <v>15</v>
      </c>
      <c r="E89" s="1" t="s">
        <v>22</v>
      </c>
      <c r="F89" s="1" t="s">
        <v>13</v>
      </c>
      <c r="G89" s="1" t="s">
        <v>47</v>
      </c>
      <c r="I89" s="1" t="s">
        <v>302</v>
      </c>
      <c r="J89" s="1" t="str">
        <f t="shared" si="2"/>
        <v>Runs every year</v>
      </c>
    </row>
    <row r="90" spans="1:10" x14ac:dyDescent="0.35">
      <c r="A90" s="1" t="s">
        <v>222</v>
      </c>
      <c r="B90" s="1" t="s">
        <v>288</v>
      </c>
      <c r="C90" s="1" t="s">
        <v>121</v>
      </c>
      <c r="D90" s="1" t="s">
        <v>15</v>
      </c>
      <c r="E90" s="1" t="s">
        <v>31</v>
      </c>
      <c r="F90" s="1" t="s">
        <v>80</v>
      </c>
      <c r="G90" s="1" t="s">
        <v>289</v>
      </c>
      <c r="I90" s="1" t="s">
        <v>302</v>
      </c>
      <c r="J90" s="1" t="str">
        <f t="shared" si="2"/>
        <v>Alternates (2027/28)</v>
      </c>
    </row>
    <row r="91" spans="1:10" x14ac:dyDescent="0.35">
      <c r="A91" s="1" t="s">
        <v>223</v>
      </c>
      <c r="B91" s="1" t="s">
        <v>224</v>
      </c>
      <c r="C91" s="1" t="s">
        <v>320</v>
      </c>
      <c r="D91" s="1" t="s">
        <v>15</v>
      </c>
      <c r="E91" s="1" t="s">
        <v>31</v>
      </c>
      <c r="F91" s="1" t="s">
        <v>80</v>
      </c>
      <c r="G91" s="1" t="s">
        <v>47</v>
      </c>
      <c r="I91" s="1" t="s">
        <v>302</v>
      </c>
      <c r="J91" s="1" t="str">
        <f t="shared" si="2"/>
        <v>Alternates (2026/27)</v>
      </c>
    </row>
    <row r="92" spans="1:10" x14ac:dyDescent="0.35">
      <c r="A92" s="1" t="s">
        <v>225</v>
      </c>
      <c r="B92" s="1" t="s">
        <v>226</v>
      </c>
      <c r="C92" s="1" t="s">
        <v>70</v>
      </c>
      <c r="D92" s="1" t="s">
        <v>15</v>
      </c>
      <c r="E92" s="1" t="s">
        <v>12</v>
      </c>
      <c r="F92" s="1" t="s">
        <v>80</v>
      </c>
      <c r="G92" s="1" t="s">
        <v>227</v>
      </c>
      <c r="H92" s="1" t="s">
        <v>228</v>
      </c>
      <c r="I92" s="1" t="s">
        <v>301</v>
      </c>
      <c r="J92" s="1" t="str">
        <f t="shared" si="2"/>
        <v>Alternates (2027/28)</v>
      </c>
    </row>
    <row r="93" spans="1:10" x14ac:dyDescent="0.35">
      <c r="A93" s="1" t="s">
        <v>229</v>
      </c>
      <c r="B93" s="1" t="s">
        <v>230</v>
      </c>
      <c r="C93" s="1" t="s">
        <v>70</v>
      </c>
      <c r="D93" s="1" t="s">
        <v>11</v>
      </c>
      <c r="E93" s="1" t="s">
        <v>12</v>
      </c>
      <c r="F93" s="1" t="s">
        <v>80</v>
      </c>
      <c r="G93" s="1" t="s">
        <v>231</v>
      </c>
      <c r="I93" s="1" t="s">
        <v>301</v>
      </c>
      <c r="J93" s="1" t="str">
        <f t="shared" si="2"/>
        <v>Alternates (2027/28)</v>
      </c>
    </row>
    <row r="94" spans="1:10" x14ac:dyDescent="0.35">
      <c r="A94" s="1" t="s">
        <v>232</v>
      </c>
      <c r="B94" s="1" t="s">
        <v>233</v>
      </c>
      <c r="C94" s="1" t="s">
        <v>70</v>
      </c>
      <c r="D94" s="1" t="s">
        <v>15</v>
      </c>
      <c r="E94" s="1" t="s">
        <v>234</v>
      </c>
      <c r="F94" s="1" t="s">
        <v>80</v>
      </c>
      <c r="G94" s="1" t="s">
        <v>235</v>
      </c>
      <c r="H94" s="1" t="s">
        <v>236</v>
      </c>
      <c r="I94" s="1" t="s">
        <v>301</v>
      </c>
      <c r="J94" s="1" t="str">
        <f t="shared" si="2"/>
        <v>Alternates (2027/28)</v>
      </c>
    </row>
    <row r="95" spans="1:10" x14ac:dyDescent="0.35">
      <c r="A95" s="1" t="s">
        <v>237</v>
      </c>
      <c r="B95" s="1" t="s">
        <v>238</v>
      </c>
      <c r="C95" s="1" t="s">
        <v>70</v>
      </c>
      <c r="D95" s="1" t="s">
        <v>11</v>
      </c>
      <c r="E95" s="1" t="s">
        <v>71</v>
      </c>
      <c r="F95" s="1" t="s">
        <v>80</v>
      </c>
      <c r="G95" s="1" t="s">
        <v>62</v>
      </c>
      <c r="H95" s="1" t="s">
        <v>239</v>
      </c>
      <c r="I95" s="1" t="s">
        <v>301</v>
      </c>
      <c r="J95" s="1" t="str">
        <f t="shared" si="2"/>
        <v>Alternates (2027/28)</v>
      </c>
    </row>
    <row r="96" spans="1:10" x14ac:dyDescent="0.35">
      <c r="A96" s="1" t="s">
        <v>240</v>
      </c>
      <c r="B96" s="1" t="s">
        <v>241</v>
      </c>
      <c r="C96" s="1" t="s">
        <v>10</v>
      </c>
      <c r="D96" s="1" t="s">
        <v>11</v>
      </c>
      <c r="E96" s="1" t="s">
        <v>28</v>
      </c>
      <c r="F96" s="1" t="s">
        <v>13</v>
      </c>
      <c r="G96" s="1" t="s">
        <v>42</v>
      </c>
      <c r="H96" s="1" t="s">
        <v>242</v>
      </c>
      <c r="I96" s="1" t="s">
        <v>301</v>
      </c>
      <c r="J96" s="1" t="str">
        <f t="shared" si="2"/>
        <v>Runs every year</v>
      </c>
    </row>
    <row r="97" spans="1:10" x14ac:dyDescent="0.35">
      <c r="A97" s="1" t="s">
        <v>243</v>
      </c>
      <c r="B97" s="1" t="s">
        <v>244</v>
      </c>
      <c r="C97" s="1" t="s">
        <v>10</v>
      </c>
      <c r="D97" s="1" t="s">
        <v>11</v>
      </c>
      <c r="E97" s="1" t="s">
        <v>21</v>
      </c>
      <c r="F97" s="1" t="s">
        <v>80</v>
      </c>
      <c r="G97" s="1" t="s">
        <v>245</v>
      </c>
      <c r="I97" s="1" t="s">
        <v>301</v>
      </c>
      <c r="J97" s="1" t="str">
        <f t="shared" ref="J97:J106" si="3">IF(VALUE(LEFT(C97,4))&gt;2050,"Temp withdrawal",IF(F97="No","Runs every year",IF(ISEVEN(VALUE(LEFT(C97,4))),"Alternates (2026/27)","Alternates (2027/28)")))</f>
        <v>Alternates (2026/27)</v>
      </c>
    </row>
    <row r="98" spans="1:10" x14ac:dyDescent="0.35">
      <c r="A98" s="1" t="s">
        <v>246</v>
      </c>
      <c r="B98" s="1" t="s">
        <v>247</v>
      </c>
      <c r="C98" s="1" t="s">
        <v>10</v>
      </c>
      <c r="D98" s="1" t="s">
        <v>15</v>
      </c>
      <c r="E98" s="1" t="s">
        <v>12</v>
      </c>
      <c r="F98" s="1" t="s">
        <v>80</v>
      </c>
      <c r="G98" s="1" t="s">
        <v>248</v>
      </c>
      <c r="H98" s="1" t="s">
        <v>249</v>
      </c>
      <c r="I98" s="1" t="s">
        <v>301</v>
      </c>
      <c r="J98" s="1" t="str">
        <f t="shared" si="3"/>
        <v>Alternates (2026/27)</v>
      </c>
    </row>
    <row r="99" spans="1:10" x14ac:dyDescent="0.35">
      <c r="A99" s="1" t="s">
        <v>250</v>
      </c>
      <c r="B99" s="1" t="s">
        <v>251</v>
      </c>
      <c r="C99" s="1" t="s">
        <v>286</v>
      </c>
      <c r="D99" s="1" t="s">
        <v>11</v>
      </c>
      <c r="E99" s="1" t="s">
        <v>16</v>
      </c>
      <c r="F99" s="1" t="s">
        <v>80</v>
      </c>
      <c r="G99" s="1" t="s">
        <v>49</v>
      </c>
      <c r="I99" s="1" t="s">
        <v>301</v>
      </c>
      <c r="J99" s="1" t="str">
        <f t="shared" si="3"/>
        <v>Temp withdrawal</v>
      </c>
    </row>
    <row r="100" spans="1:10" x14ac:dyDescent="0.35">
      <c r="A100" s="1" t="s">
        <v>252</v>
      </c>
      <c r="B100" s="1" t="s">
        <v>253</v>
      </c>
      <c r="C100" s="1" t="s">
        <v>128</v>
      </c>
      <c r="D100" s="1" t="s">
        <v>11</v>
      </c>
      <c r="E100" s="1" t="s">
        <v>71</v>
      </c>
      <c r="F100" s="1" t="s">
        <v>80</v>
      </c>
      <c r="G100" s="1" t="s">
        <v>254</v>
      </c>
      <c r="I100" s="1" t="s">
        <v>301</v>
      </c>
      <c r="J100" s="1" t="str">
        <f t="shared" si="3"/>
        <v>Alternates (2026/27)</v>
      </c>
    </row>
    <row r="101" spans="1:10" x14ac:dyDescent="0.35">
      <c r="A101" s="1" t="s">
        <v>255</v>
      </c>
      <c r="B101" s="1" t="s">
        <v>256</v>
      </c>
      <c r="C101" s="1" t="s">
        <v>10</v>
      </c>
      <c r="D101" s="1" t="s">
        <v>15</v>
      </c>
      <c r="E101" s="1" t="s">
        <v>71</v>
      </c>
      <c r="F101" s="1" t="s">
        <v>80</v>
      </c>
      <c r="G101" s="1" t="s">
        <v>257</v>
      </c>
      <c r="H101" s="1" t="s">
        <v>258</v>
      </c>
      <c r="I101" s="1" t="s">
        <v>301</v>
      </c>
      <c r="J101" s="1" t="str">
        <f t="shared" si="3"/>
        <v>Alternates (2026/27)</v>
      </c>
    </row>
    <row r="102" spans="1:10" x14ac:dyDescent="0.35">
      <c r="A102" s="5" t="s">
        <v>305</v>
      </c>
      <c r="B102" s="5" t="s">
        <v>306</v>
      </c>
      <c r="C102" s="1" t="s">
        <v>320</v>
      </c>
      <c r="D102" s="1" t="s">
        <v>11</v>
      </c>
      <c r="E102" s="1" t="s">
        <v>16</v>
      </c>
      <c r="F102" s="1" t="s">
        <v>80</v>
      </c>
      <c r="G102" s="1" t="s">
        <v>321</v>
      </c>
      <c r="I102" s="1" t="s">
        <v>301</v>
      </c>
      <c r="J102" s="1" t="str">
        <f t="shared" si="3"/>
        <v>Alternates (2026/27)</v>
      </c>
    </row>
    <row r="103" spans="1:10" x14ac:dyDescent="0.35">
      <c r="A103" s="5" t="s">
        <v>307</v>
      </c>
      <c r="B103" s="1" t="s">
        <v>308</v>
      </c>
      <c r="C103" s="1" t="s">
        <v>322</v>
      </c>
      <c r="D103" s="1" t="s">
        <v>11</v>
      </c>
      <c r="E103" s="1" t="s">
        <v>16</v>
      </c>
      <c r="F103" s="1" t="s">
        <v>80</v>
      </c>
      <c r="G103" s="1" t="s">
        <v>49</v>
      </c>
      <c r="I103" s="1" t="s">
        <v>301</v>
      </c>
      <c r="J103" s="1" t="str">
        <f t="shared" si="3"/>
        <v>Alternates (2027/28)</v>
      </c>
    </row>
    <row r="104" spans="1:10" x14ac:dyDescent="0.35">
      <c r="A104" s="1" t="s">
        <v>259</v>
      </c>
      <c r="B104" s="1" t="s">
        <v>260</v>
      </c>
      <c r="C104" s="1" t="s">
        <v>10</v>
      </c>
      <c r="D104" s="1" t="s">
        <v>15</v>
      </c>
      <c r="E104" s="1" t="s">
        <v>28</v>
      </c>
      <c r="F104" s="1" t="s">
        <v>80</v>
      </c>
      <c r="G104" s="1" t="s">
        <v>49</v>
      </c>
      <c r="H104" s="1" t="s">
        <v>261</v>
      </c>
      <c r="I104" s="1" t="s">
        <v>301</v>
      </c>
      <c r="J104" s="1" t="str">
        <f t="shared" si="3"/>
        <v>Alternates (2026/27)</v>
      </c>
    </row>
    <row r="105" spans="1:10" x14ac:dyDescent="0.35">
      <c r="A105" s="1" t="s">
        <v>262</v>
      </c>
      <c r="B105" s="1" t="s">
        <v>263</v>
      </c>
      <c r="C105" s="1" t="s">
        <v>70</v>
      </c>
      <c r="D105" s="1" t="s">
        <v>15</v>
      </c>
      <c r="E105" s="1" t="s">
        <v>28</v>
      </c>
      <c r="F105" s="1" t="s">
        <v>80</v>
      </c>
      <c r="G105" s="1" t="s">
        <v>264</v>
      </c>
      <c r="H105" s="1" t="s">
        <v>265</v>
      </c>
      <c r="I105" s="1" t="s">
        <v>301</v>
      </c>
      <c r="J105" s="1" t="str">
        <f t="shared" si="3"/>
        <v>Alternates (2027/28)</v>
      </c>
    </row>
    <row r="106" spans="1:10" x14ac:dyDescent="0.35">
      <c r="A106" s="1" t="s">
        <v>266</v>
      </c>
      <c r="B106" s="1" t="s">
        <v>267</v>
      </c>
      <c r="C106" s="1" t="s">
        <v>10</v>
      </c>
      <c r="D106" s="1" t="s">
        <v>146</v>
      </c>
      <c r="F106" s="1" t="s">
        <v>13</v>
      </c>
      <c r="H106" s="1" t="s">
        <v>170</v>
      </c>
      <c r="I106" s="1" t="s">
        <v>314</v>
      </c>
      <c r="J106" s="1" t="str">
        <f t="shared" si="3"/>
        <v>Runs every year</v>
      </c>
    </row>
  </sheetData>
  <sortState xmlns:xlrd2="http://schemas.microsoft.com/office/spreadsheetml/2017/richdata2" ref="A2:J106">
    <sortCondition ref="A2:A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Hannah Worthington</cp:lastModifiedBy>
  <cp:revision/>
  <dcterms:created xsi:type="dcterms:W3CDTF">2023-06-20T10:54:55Z</dcterms:created>
  <dcterms:modified xsi:type="dcterms:W3CDTF">2026-08-10T14:09:47Z</dcterms:modified>
  <cp:category/>
  <cp:contentStatus/>
</cp:coreProperties>
</file>